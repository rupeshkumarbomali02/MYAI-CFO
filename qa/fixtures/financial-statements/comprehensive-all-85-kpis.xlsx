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59f453e48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ehensive Inputs" sheetId="1" r:id="R7ed1f3487b594e51"/>
    <x:sheet xmlns:r="http://schemas.openxmlformats.org/officeDocument/2006/relationships" name="85 KPI Results" sheetId="2" r:id="Rd2d54316f34944b3"/>
    <x:sheet xmlns:r="http://schemas.openxmlformats.org/officeDocument/2006/relationships" name="Coverage Matrix" sheetId="3" r:id="Ra2ac14a4cab54f7a"/>
    <x:sheet xmlns:r="http://schemas.openxmlformats.org/officeDocument/2006/relationships" name="QA Dashboard" sheetId="4" r:id="R4bb71272f02b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-"/>
    <x:numFmt numFmtId="201" formatCode="0.0%"/>
    <x:numFmt numFmtId="202" formatCode="0.00x"/>
    <x:numFmt numFmtId="203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1a6d82a9c4a63" /><Relationship Type="http://schemas.openxmlformats.org/officeDocument/2006/relationships/theme" Target="/xl/theme/theme1.xml" Id="Rf5d8f21527ea449a" /><Relationship Type="http://schemas.openxmlformats.org/officeDocument/2006/relationships/sharedStrings" Target="/xl/sharedStrings.xml" Id="Rfc505d504a924e46" /><Relationship Type="http://schemas.openxmlformats.org/officeDocument/2006/relationships/worksheet" Target="/xl/worksheets/sheet1.xml" Id="R7ed1f3487b594e51" /><Relationship Type="http://schemas.openxmlformats.org/officeDocument/2006/relationships/worksheet" Target="/xl/worksheets/sheet2.xml" Id="Rd2d54316f34944b3" /><Relationship Type="http://schemas.openxmlformats.org/officeDocument/2006/relationships/worksheet" Target="/xl/worksheets/sheet3.xml" Id="Ra2ac14a4cab54f7a" /><Relationship Type="http://schemas.openxmlformats.org/officeDocument/2006/relationships/worksheet" Target="/xl/worksheets/sheet4.xml" Id="R4bb71272f02b46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7909d1c6ec40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Three-Year Financial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'QA Dashboard'!$D$3:$D$6</c:f>
              <c:strCache>
                <c:ptCount val="0"/>
              </c:strCache>
            </c:strRef>
          </c:cat>
          <c:val>
            <c:numRef>
              <c:f>'QA Dashboard'!$E$3:$E$6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'QA Dashboard'!$D$3:$D$6</c:f>
              <c:strCache>
                <c:ptCount val="0"/>
              </c:strCache>
            </c:strRef>
          </c:cat>
          <c:val>
            <c:numRef>
              <c:f>'QA Dashboard'!$F$3:$F$6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'QA Dashboard'!$D$3:$D$6</c:f>
              <c:strCache>
                <c:ptCount val="0"/>
              </c:strCache>
            </c:strRef>
          </c:cat>
          <c:val>
            <c:numRef>
              <c:f>'QA Dashboard'!$G$3:$G$6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7909d1c6ec40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rehensiveInputsTable" displayName="ComprehensiveInputsTable" ref="A1:E86" headerRowCount="1" totalsRowCount="0" totalsRowShown="0">
  <x:tableColumns count="5">
    <x:tableColumn id="1" name="Input / Fact"/>
    <x:tableColumn id="2" name="Unit"/>
    <x:tableColumn id="3" name="2023"/>
    <x:tableColumn id="4" name="2024"/>
    <x:tableColumn id="5" name="202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IResultsTable" displayName="KPIResultsTable" ref="A1:I86" headerRowCount="1" totalsRowCount="0" totalsRowShown="0">
  <x:tableColumns count="9">
    <x:tableColumn id="1" name="KPI #"/>
    <x:tableColumn id="2" name="KPI ID"/>
    <x:tableColumn id="3" name="KPI"/>
    <x:tableColumn id="4" name="Category"/>
    <x:tableColumn id="5" name="Unit"/>
    <x:tableColumn id="6" name="2023"/>
    <x:tableColumn id="7" name="2024"/>
    <x:tableColumn id="8" name="2025"/>
    <x:tableColumn id="9" name="Te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MatrixTable" displayName="CoverageMatrixTable" ref="A1:G86" headerRowCount="1" totalsRowCount="0" totalsRowShown="0">
  <x:tableColumns count="7">
    <x:tableColumn id="1" name="KPI #"/>
    <x:tableColumn id="2" name="KPI"/>
    <x:tableColumn id="3" name="2023 Input/Calc"/>
    <x:tableColumn id="4" name="2024 Input/Calc"/>
    <x:tableColumn id="5" name="2025 Input/Calc"/>
    <x:tableColumn id="6" name="Formula Present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fb84f11d8941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d2bbfb4fc047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7f690addb1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45256826b6942e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Input / Fact</x:v>
      </x:c>
      <x:c r="B1" s="8" t="str">
        <x:v>Unit</x:v>
      </x:c>
      <x:c r="C1" s="8" t="str">
        <x:v>2023</x:v>
      </x:c>
      <x:c r="D1" s="8" t="str">
        <x:v>2024</x:v>
      </x:c>
      <x:c r="E1" s="8" t="str">
        <x:v>2025</x:v>
      </x:c>
    </x:row>
    <x:row r="2">
      <x:c r="A2" s="9" t="str">
        <x:v>Revenue</x:v>
      </x:c>
      <x:c r="B2" s="9" t="str">
        <x:v>USD mm</x:v>
      </x:c>
      <x:c r="C2" s="12" t="n">
        <x:v>90000</x:v>
      </x:c>
      <x:c r="D2" s="12" t="n">
        <x:v>98000</x:v>
      </x:c>
      <x:c r="E2" s="12" t="n">
        <x:v>105000</x:v>
      </x:c>
    </x:row>
    <x:row r="3">
      <x:c r="A3" s="9" t="str">
        <x:v>COGS</x:v>
      </x:c>
      <x:c r="B3" s="9" t="str">
        <x:v>USD mm</x:v>
      </x:c>
      <x:c r="C3" s="12" t="n">
        <x:v>54000</x:v>
      </x:c>
      <x:c r="D3" s="12" t="n">
        <x:v>58800</x:v>
      </x:c>
      <x:c r="E3" s="12" t="n">
        <x:v>60900</x:v>
      </x:c>
    </x:row>
    <x:row r="4">
      <x:c r="A4" s="9" t="str">
        <x:v>Gross Profit</x:v>
      </x:c>
      <x:c r="B4" s="9" t="str">
        <x:v>USD mm</x:v>
      </x:c>
      <x:c r="C4" s="12" t="n">
        <x:v>36000</x:v>
      </x:c>
      <x:c r="D4" s="12" t="n">
        <x:v>39200</x:v>
      </x:c>
      <x:c r="E4" s="12" t="n">
        <x:v>44100</x:v>
      </x:c>
    </x:row>
    <x:row r="5">
      <x:c r="A5" s="9" t="str">
        <x:v>Operating Income</x:v>
      </x:c>
      <x:c r="B5" s="9" t="str">
        <x:v>USD mm</x:v>
      </x:c>
      <x:c r="C5" s="12" t="n">
        <x:v>12000</x:v>
      </x:c>
      <x:c r="D5" s="12" t="n">
        <x:v>14500</x:v>
      </x:c>
      <x:c r="E5" s="12" t="n">
        <x:v>17000</x:v>
      </x:c>
    </x:row>
    <x:row r="6">
      <x:c r="A6" s="9" t="str">
        <x:v>Net Income</x:v>
      </x:c>
      <x:c r="B6" s="9" t="str">
        <x:v>USD mm</x:v>
      </x:c>
      <x:c r="C6" s="12" t="n">
        <x:v>8500</x:v>
      </x:c>
      <x:c r="D6" s="12" t="n">
        <x:v>10500</x:v>
      </x:c>
      <x:c r="E6" s="12" t="n">
        <x:v>12500</x:v>
      </x:c>
    </x:row>
    <x:row r="7">
      <x:c r="A7" s="9" t="str">
        <x:v>EBITDA</x:v>
      </x:c>
      <x:c r="B7" s="9" t="str">
        <x:v>USD mm</x:v>
      </x:c>
      <x:c r="C7" s="12" t="n">
        <x:v>18000</x:v>
      </x:c>
      <x:c r="D7" s="12" t="n">
        <x:v>21000</x:v>
      </x:c>
      <x:c r="E7" s="12" t="n">
        <x:v>24000</x:v>
      </x:c>
    </x:row>
    <x:row r="8">
      <x:c r="A8" s="9" t="str">
        <x:v>Cash &amp; Cash Equivalents</x:v>
      </x:c>
      <x:c r="B8" s="9" t="str">
        <x:v>USD mm</x:v>
      </x:c>
      <x:c r="C8" s="12" t="n">
        <x:v>18000</x:v>
      </x:c>
      <x:c r="D8" s="12" t="n">
        <x:v>22000</x:v>
      </x:c>
      <x:c r="E8" s="12" t="n">
        <x:v>26000</x:v>
      </x:c>
    </x:row>
    <x:row r="9">
      <x:c r="A9" s="9" t="str">
        <x:v>Current Assets</x:v>
      </x:c>
      <x:c r="B9" s="9" t="str">
        <x:v>USD mm</x:v>
      </x:c>
      <x:c r="C9" s="12" t="n">
        <x:v>60000</x:v>
      </x:c>
      <x:c r="D9" s="12" t="n">
        <x:v>68000</x:v>
      </x:c>
      <x:c r="E9" s="12" t="n">
        <x:v>76000</x:v>
      </x:c>
    </x:row>
    <x:row r="10">
      <x:c r="A10" s="9" t="str">
        <x:v>Current Liabilities</x:v>
      </x:c>
      <x:c r="B10" s="9" t="str">
        <x:v>USD mm</x:v>
      </x:c>
      <x:c r="C10" s="12" t="n">
        <x:v>40000</x:v>
      </x:c>
      <x:c r="D10" s="12" t="n">
        <x:v>43000</x:v>
      </x:c>
      <x:c r="E10" s="12" t="n">
        <x:v>47000</x:v>
      </x:c>
    </x:row>
    <x:row r="11">
      <x:c r="A11" s="9" t="str">
        <x:v>Total Assets</x:v>
      </x:c>
      <x:c r="B11" s="9" t="str">
        <x:v>USD mm</x:v>
      </x:c>
      <x:c r="C11" s="12" t="n">
        <x:v>150000</x:v>
      </x:c>
      <x:c r="D11" s="12" t="n">
        <x:v>165000</x:v>
      </x:c>
      <x:c r="E11" s="12" t="n">
        <x:v>182000</x:v>
      </x:c>
    </x:row>
    <x:row r="12">
      <x:c r="A12" s="9" t="str">
        <x:v>Total Liabilities</x:v>
      </x:c>
      <x:c r="B12" s="9" t="str">
        <x:v>USD mm</x:v>
      </x:c>
      <x:c r="C12" s="12" t="n">
        <x:v>70000</x:v>
      </x:c>
      <x:c r="D12" s="12" t="n">
        <x:v>76000</x:v>
      </x:c>
      <x:c r="E12" s="12" t="n">
        <x:v>81000</x:v>
      </x:c>
    </x:row>
    <x:row r="13">
      <x:c r="A13" s="9" t="str">
        <x:v>Total Debt</x:v>
      </x:c>
      <x:c r="B13" s="9" t="str">
        <x:v>USD mm</x:v>
      </x:c>
      <x:c r="C13" s="12" t="n">
        <x:v>45000</x:v>
      </x:c>
      <x:c r="D13" s="12" t="n">
        <x:v>48000</x:v>
      </x:c>
      <x:c r="E13" s="12" t="n">
        <x:v>50000</x:v>
      </x:c>
    </x:row>
    <x:row r="14">
      <x:c r="A14" s="9" t="str">
        <x:v>Accounts Receivable</x:v>
      </x:c>
      <x:c r="B14" s="9" t="str">
        <x:v>USD mm</x:v>
      </x:c>
      <x:c r="C14" s="12" t="n">
        <x:v>14000</x:v>
      </x:c>
      <x:c r="D14" s="12" t="n">
        <x:v>15500</x:v>
      </x:c>
      <x:c r="E14" s="12" t="n">
        <x:v>17000</x:v>
      </x:c>
    </x:row>
    <x:row r="15">
      <x:c r="A15" s="9" t="str">
        <x:v>Accounts Payable</x:v>
      </x:c>
      <x:c r="B15" s="9" t="str">
        <x:v>USD mm</x:v>
      </x:c>
      <x:c r="C15" s="12" t="n">
        <x:v>12000</x:v>
      </x:c>
      <x:c r="D15" s="12" t="n">
        <x:v>13000</x:v>
      </x:c>
      <x:c r="E15" s="12" t="n">
        <x:v>14200</x:v>
      </x:c>
    </x:row>
    <x:row r="16">
      <x:c r="A16" s="9" t="str">
        <x:v>Inventory</x:v>
      </x:c>
      <x:c r="B16" s="9" t="str">
        <x:v>USD mm</x:v>
      </x:c>
      <x:c r="C16" s="12" t="n">
        <x:v>16000</x:v>
      </x:c>
      <x:c r="D16" s="12" t="n">
        <x:v>17500</x:v>
      </x:c>
      <x:c r="E16" s="12" t="n">
        <x:v>19000</x:v>
      </x:c>
    </x:row>
    <x:row r="17">
      <x:c r="A17" s="9" t="str">
        <x:v>Capital Expenditures</x:v>
      </x:c>
      <x:c r="B17" s="9" t="str">
        <x:v>USD mm</x:v>
      </x:c>
      <x:c r="C17" s="12" t="n">
        <x:v>9000</x:v>
      </x:c>
      <x:c r="D17" s="12" t="n">
        <x:v>10000</x:v>
      </x:c>
      <x:c r="E17" s="12" t="n">
        <x:v>11000</x:v>
      </x:c>
    </x:row>
    <x:row r="18">
      <x:c r="A18" s="9" t="str">
        <x:v>Operating Cash Flow</x:v>
      </x:c>
      <x:c r="B18" s="9" t="str">
        <x:v>USD mm</x:v>
      </x:c>
      <x:c r="C18" s="12" t="n">
        <x:v>16000</x:v>
      </x:c>
      <x:c r="D18" s="12" t="n">
        <x:v>19000</x:v>
      </x:c>
      <x:c r="E18" s="12" t="n">
        <x:v>22500</x:v>
      </x:c>
    </x:row>
    <x:row r="19">
      <x:c r="A19" s="9" t="str">
        <x:v>D&amp;A</x:v>
      </x:c>
      <x:c r="B19" s="9" t="str">
        <x:v>USD mm</x:v>
      </x:c>
      <x:c r="C19" s="12" t="n">
        <x:v>6000</x:v>
      </x:c>
      <x:c r="D19" s="12" t="n">
        <x:v>6500</x:v>
      </x:c>
      <x:c r="E19" s="12" t="n">
        <x:v>7000</x:v>
      </x:c>
    </x:row>
    <x:row r="20">
      <x:c r="A20" s="9" t="str">
        <x:v>Interest Expense</x:v>
      </x:c>
      <x:c r="B20" s="9" t="str">
        <x:v>USD mm</x:v>
      </x:c>
      <x:c r="C20" s="12" t="n">
        <x:v>2200</x:v>
      </x:c>
      <x:c r="D20" s="12" t="n">
        <x:v>2100</x:v>
      </x:c>
      <x:c r="E20" s="12" t="n">
        <x:v>2000</x:v>
      </x:c>
    </x:row>
    <x:row r="21">
      <x:c r="A21" s="9" t="str">
        <x:v>Equity</x:v>
      </x:c>
      <x:c r="B21" s="9" t="str">
        <x:v>USD mm</x:v>
      </x:c>
      <x:c r="C21" s="12" t="n">
        <x:v>80000</x:v>
      </x:c>
      <x:c r="D21" s="12" t="n">
        <x:v>89000</x:v>
      </x:c>
      <x:c r="E21" s="12" t="n">
        <x:v>101000</x:v>
      </x:c>
    </x:row>
    <x:row r="22">
      <x:c r="A22" s="9" t="str">
        <x:v>Share Price</x:v>
      </x:c>
      <x:c r="B22" s="9" t="str">
        <x:v>USD mm</x:v>
      </x:c>
      <x:c r="C22" s="12" t="n">
        <x:v>120</x:v>
      </x:c>
      <x:c r="D22" s="12" t="n">
        <x:v>135</x:v>
      </x:c>
      <x:c r="E22" s="12" t="n">
        <x:v>150</x:v>
      </x:c>
    </x:row>
    <x:row r="23">
      <x:c r="A23" s="9" t="str">
        <x:v>Diluted EPS Reported</x:v>
      </x:c>
      <x:c r="B23" s="9" t="str">
        <x:v>USD mm</x:v>
      </x:c>
      <x:c r="C23" s="12" t="n">
        <x:v>4.25</x:v>
      </x:c>
      <x:c r="D23" s="12" t="n">
        <x:v>5.25</x:v>
      </x:c>
      <x:c r="E23" s="12" t="n">
        <x:v>6.25</x:v>
      </x:c>
    </x:row>
    <x:row r="24">
      <x:c r="A24" s="9" t="str">
        <x:v>Book Value Per Share</x:v>
      </x:c>
      <x:c r="B24" s="9" t="str">
        <x:v>USD mm</x:v>
      </x:c>
      <x:c r="C24" s="12" t="n">
        <x:v>40</x:v>
      </x:c>
      <x:c r="D24" s="12" t="n">
        <x:v>44.5</x:v>
      </x:c>
      <x:c r="E24" s="12" t="n">
        <x:v>50.5</x:v>
      </x:c>
    </x:row>
    <x:row r="25">
      <x:c r="A25" s="9" t="str">
        <x:v>Market Cap</x:v>
      </x:c>
      <x:c r="B25" s="9" t="str">
        <x:v>USD mm</x:v>
      </x:c>
      <x:c r="C25" s="12" t="n">
        <x:v>240000</x:v>
      </x:c>
      <x:c r="D25" s="12" t="n">
        <x:v>270000</x:v>
      </x:c>
      <x:c r="E25" s="12" t="n">
        <x:v>300000</x:v>
      </x:c>
    </x:row>
    <x:row r="26">
      <x:c r="A26" s="9" t="str">
        <x:v>Enterprise Value</x:v>
      </x:c>
      <x:c r="B26" s="9" t="str">
        <x:v>USD mm</x:v>
      </x:c>
      <x:c r="C26" s="12" t="n">
        <x:v>267000</x:v>
      </x:c>
      <x:c r="D26" s="12" t="n">
        <x:v>296000</x:v>
      </x:c>
      <x:c r="E26" s="12" t="n">
        <x:v>324000</x:v>
      </x:c>
    </x:row>
    <x:row r="27">
      <x:c r="A27" s="9" t="str">
        <x:v>Preferred Dividends</x:v>
      </x:c>
      <x:c r="B27" s="9" t="str">
        <x:v>USD mm</x:v>
      </x:c>
      <x:c r="C27" s="12" t="n">
        <x:v>200</x:v>
      </x:c>
      <x:c r="D27" s="12" t="n">
        <x:v>200</x:v>
      </x:c>
      <x:c r="E27" s="12" t="n">
        <x:v>200</x:v>
      </x:c>
    </x:row>
    <x:row r="28">
      <x:c r="A28" s="9" t="str">
        <x:v>Weighted Avg Shares</x:v>
      </x:c>
      <x:c r="B28" s="9" t="str">
        <x:v>USD mm</x:v>
      </x:c>
      <x:c r="C28" s="12" t="n">
        <x:v>2000</x:v>
      </x:c>
      <x:c r="D28" s="12" t="n">
        <x:v>2000</x:v>
      </x:c>
      <x:c r="E28" s="12" t="n">
        <x:v>2000</x:v>
      </x:c>
    </x:row>
    <x:row r="29">
      <x:c r="A29" s="9" t="str">
        <x:v>Annual Dividend Per Share</x:v>
      </x:c>
      <x:c r="B29" s="9" t="str">
        <x:v>USD mm</x:v>
      </x:c>
      <x:c r="C29" s="12" t="n">
        <x:v>0.85</x:v>
      </x:c>
      <x:c r="D29" s="12" t="n">
        <x:v>1.05</x:v>
      </x:c>
      <x:c r="E29" s="12" t="n">
        <x:v>1.25</x:v>
      </x:c>
    </x:row>
    <x:row r="30">
      <x:c r="A30" s="9" t="str">
        <x:v>Tax Rate</x:v>
      </x:c>
      <x:c r="B30" s="9" t="str">
        <x:v>%</x:v>
      </x:c>
      <x:c r="C30" s="14" t="n">
        <x:v>0.25</x:v>
      </x:c>
      <x:c r="D30" s="14" t="n">
        <x:v>0.25</x:v>
      </x:c>
      <x:c r="E30" s="14" t="n">
        <x:v>0.25</x:v>
      </x:c>
    </x:row>
    <x:row r="31">
      <x:c r="A31" s="9" t="str">
        <x:v>NOPAT</x:v>
      </x:c>
      <x:c r="B31" s="9" t="str">
        <x:v>USD mm</x:v>
      </x:c>
      <x:c r="C31" s="12" t="n">
        <x:v>9000</x:v>
      </x:c>
      <x:c r="D31" s="12" t="n">
        <x:v>10875</x:v>
      </x:c>
      <x:c r="E31" s="12" t="n">
        <x:v>12750</x:v>
      </x:c>
    </x:row>
    <x:row r="32">
      <x:c r="A32" s="9" t="str">
        <x:v>Invested Capital</x:v>
      </x:c>
      <x:c r="B32" s="9" t="str">
        <x:v>USD mm</x:v>
      </x:c>
      <x:c r="C32" s="12" t="n">
        <x:v>105000</x:v>
      </x:c>
      <x:c r="D32" s="12" t="n">
        <x:v>117000</x:v>
      </x:c>
      <x:c r="E32" s="12" t="n">
        <x:v>131000</x:v>
      </x:c>
    </x:row>
    <x:row r="33">
      <x:c r="A33" s="9" t="str">
        <x:v>Capital Employed</x:v>
      </x:c>
      <x:c r="B33" s="9" t="str">
        <x:v>USD mm</x:v>
      </x:c>
      <x:c r="C33" s="12" t="n">
        <x:v>100000</x:v>
      </x:c>
      <x:c r="D33" s="12" t="n">
        <x:v>110000</x:v>
      </x:c>
      <x:c r="E33" s="12" t="n">
        <x:v>125000</x:v>
      </x:c>
    </x:row>
    <x:row r="34">
      <x:c r="A34" s="9" t="str">
        <x:v>Net Fixed Assets</x:v>
      </x:c>
      <x:c r="B34" s="9" t="str">
        <x:v>USD mm</x:v>
      </x:c>
      <x:c r="C34" s="12" t="n">
        <x:v>90000</x:v>
      </x:c>
      <x:c r="D34" s="12" t="n">
        <x:v>97000</x:v>
      </x:c>
      <x:c r="E34" s="12" t="n">
        <x:v>106000</x:v>
      </x:c>
    </x:row>
    <x:row r="35">
      <x:c r="A35" s="9" t="str">
        <x:v>Average Total Assets</x:v>
      </x:c>
      <x:c r="B35" s="9" t="str">
        <x:v>USD mm</x:v>
      </x:c>
      <x:c r="C35" s="12" t="n">
        <x:v>147000</x:v>
      </x:c>
      <x:c r="D35" s="12" t="n">
        <x:v>157500</x:v>
      </x:c>
      <x:c r="E35" s="12" t="n">
        <x:v>173500</x:v>
      </x:c>
    </x:row>
    <x:row r="36">
      <x:c r="A36" s="9" t="str">
        <x:v>Average Equity</x:v>
      </x:c>
      <x:c r="B36" s="9" t="str">
        <x:v>USD mm</x:v>
      </x:c>
      <x:c r="C36" s="12" t="n">
        <x:v>78000</x:v>
      </x:c>
      <x:c r="D36" s="12" t="n">
        <x:v>84500</x:v>
      </x:c>
      <x:c r="E36" s="12" t="n">
        <x:v>95000</x:v>
      </x:c>
    </x:row>
    <x:row r="37">
      <x:c r="A37" s="9" t="str">
        <x:v>Average Inventory</x:v>
      </x:c>
      <x:c r="B37" s="9" t="str">
        <x:v>USD mm</x:v>
      </x:c>
      <x:c r="C37" s="12" t="n">
        <x:v>15500</x:v>
      </x:c>
      <x:c r="D37" s="12" t="n">
        <x:v>16750</x:v>
      </x:c>
      <x:c r="E37" s="12" t="n">
        <x:v>18250</x:v>
      </x:c>
    </x:row>
    <x:row r="38">
      <x:c r="A38" s="9" t="str">
        <x:v>Average Receivables</x:v>
      </x:c>
      <x:c r="B38" s="9" t="str">
        <x:v>USD mm</x:v>
      </x:c>
      <x:c r="C38" s="12" t="n">
        <x:v>13500</x:v>
      </x:c>
      <x:c r="D38" s="12" t="n">
        <x:v>14750</x:v>
      </x:c>
      <x:c r="E38" s="12" t="n">
        <x:v>16250</x:v>
      </x:c>
    </x:row>
    <x:row r="39">
      <x:c r="A39" s="9" t="str">
        <x:v>Average Payables</x:v>
      </x:c>
      <x:c r="B39" s="9" t="str">
        <x:v>USD mm</x:v>
      </x:c>
      <x:c r="C39" s="12" t="n">
        <x:v>11500</x:v>
      </x:c>
      <x:c r="D39" s="12" t="n">
        <x:v>12500</x:v>
      </x:c>
      <x:c r="E39" s="12" t="n">
        <x:v>13600</x:v>
      </x:c>
    </x:row>
    <x:row r="40">
      <x:c r="A40" s="9" t="str">
        <x:v>Net Credit Sales</x:v>
      </x:c>
      <x:c r="B40" s="9" t="str">
        <x:v>USD mm</x:v>
      </x:c>
      <x:c r="C40" s="12" t="n">
        <x:v>86000</x:v>
      </x:c>
      <x:c r="D40" s="12" t="n">
        <x:v>94000</x:v>
      </x:c>
      <x:c r="E40" s="12" t="n">
        <x:v>101000</x:v>
      </x:c>
    </x:row>
    <x:row r="41">
      <x:c r="A41" s="9" t="str">
        <x:v>Total Debt Service</x:v>
      </x:c>
      <x:c r="B41" s="9" t="str">
        <x:v>USD mm</x:v>
      </x:c>
      <x:c r="C41" s="12" t="n">
        <x:v>8000</x:v>
      </x:c>
      <x:c r="D41" s="12" t="n">
        <x:v>7800</x:v>
      </x:c>
      <x:c r="E41" s="12" t="n">
        <x:v>7600</x:v>
      </x:c>
    </x:row>
    <x:row r="42">
      <x:c r="A42" s="9" t="str">
        <x:v>Net Operating Income</x:v>
      </x:c>
      <x:c r="B42" s="9" t="str">
        <x:v>USD mm</x:v>
      </x:c>
      <x:c r="C42" s="12" t="n">
        <x:v>15000</x:v>
      </x:c>
      <x:c r="D42" s="12" t="n">
        <x:v>17500</x:v>
      </x:c>
      <x:c r="E42" s="12" t="n">
        <x:v>20000</x:v>
      </x:c>
    </x:row>
    <x:row r="43">
      <x:c r="A43" s="9" t="str">
        <x:v>Lease Payments</x:v>
      </x:c>
      <x:c r="B43" s="9" t="str">
        <x:v>USD mm</x:v>
      </x:c>
      <x:c r="C43" s="12" t="n">
        <x:v>1800</x:v>
      </x:c>
      <x:c r="D43" s="12" t="n">
        <x:v>1800</x:v>
      </x:c>
      <x:c r="E43" s="12" t="n">
        <x:v>1800</x:v>
      </x:c>
    </x:row>
    <x:row r="44">
      <x:c r="A44" s="9" t="str">
        <x:v>Retained Earnings</x:v>
      </x:c>
      <x:c r="B44" s="9" t="str">
        <x:v>USD mm</x:v>
      </x:c>
      <x:c r="C44" s="12" t="n">
        <x:v>50000</x:v>
      </x:c>
      <x:c r="D44" s="12" t="n">
        <x:v>61000</x:v>
      </x:c>
      <x:c r="E44" s="12" t="n">
        <x:v>73000</x:v>
      </x:c>
    </x:row>
    <x:row r="45">
      <x:c r="A45" s="9" t="str">
        <x:v>Risk Free Rate</x:v>
      </x:c>
      <x:c r="B45" s="9" t="str">
        <x:v>%</x:v>
      </x:c>
      <x:c r="C45" s="14" t="n">
        <x:v>0.04</x:v>
      </x:c>
      <x:c r="D45" s="14" t="n">
        <x:v>0.042</x:v>
      </x:c>
      <x:c r="E45" s="14" t="n">
        <x:v>0.043</x:v>
      </x:c>
    </x:row>
    <x:row r="46">
      <x:c r="A46" s="9" t="str">
        <x:v>Beta</x:v>
      </x:c>
      <x:c r="B46" s="9" t="str">
        <x:v>USD mm</x:v>
      </x:c>
      <x:c r="C46" s="12" t="n">
        <x:v>1.1</x:v>
      </x:c>
      <x:c r="D46" s="12" t="n">
        <x:v>1.08</x:v>
      </x:c>
      <x:c r="E46" s="12" t="n">
        <x:v>1.05</x:v>
      </x:c>
    </x:row>
    <x:row r="47">
      <x:c r="A47" s="9" t="str">
        <x:v>Market Return</x:v>
      </x:c>
      <x:c r="B47" s="9" t="str">
        <x:v>%</x:v>
      </x:c>
      <x:c r="C47" s="14" t="n">
        <x:v>0.09</x:v>
      </x:c>
      <x:c r="D47" s="14" t="n">
        <x:v>0.095</x:v>
      </x:c>
      <x:c r="E47" s="14" t="n">
        <x:v>0.1</x:v>
      </x:c>
    </x:row>
    <x:row r="48">
      <x:c r="A48" s="9" t="str">
        <x:v>Cost of Equity</x:v>
      </x:c>
      <x:c r="B48" s="9" t="str">
        <x:v>%</x:v>
      </x:c>
      <x:c r="C48" s="14" t="n">
        <x:v>0.1</x:v>
      </x:c>
      <x:c r="D48" s="14" t="n">
        <x:v>0.1</x:v>
      </x:c>
      <x:c r="E48" s="14" t="n">
        <x:v>0.095</x:v>
      </x:c>
    </x:row>
    <x:row r="49">
      <x:c r="A49" s="9" t="str">
        <x:v>Cost of Debt</x:v>
      </x:c>
      <x:c r="B49" s="9" t="str">
        <x:v>%</x:v>
      </x:c>
      <x:c r="C49" s="14" t="n">
        <x:v>0.055</x:v>
      </x:c>
      <x:c r="D49" s="14" t="n">
        <x:v>0.052</x:v>
      </x:c>
      <x:c r="E49" s="14" t="n">
        <x:v>0.05</x:v>
      </x:c>
    </x:row>
    <x:row r="50">
      <x:c r="A50" s="9" t="str">
        <x:v>One-off Adjustments</x:v>
      </x:c>
      <x:c r="B50" s="9" t="str">
        <x:v>USD mm</x:v>
      </x:c>
      <x:c r="C50" s="12" t="n">
        <x:v>500</x:v>
      </x:c>
      <x:c r="D50" s="12" t="n">
        <x:v>800</x:v>
      </x:c>
      <x:c r="E50" s="12" t="n">
        <x:v>600</x:v>
      </x:c>
    </x:row>
    <x:row r="51">
      <x:c r="A51" s="9" t="str">
        <x:v>Fixed Costs</x:v>
      </x:c>
      <x:c r="B51" s="9" t="str">
        <x:v>USD mm</x:v>
      </x:c>
      <x:c r="C51" s="12" t="n">
        <x:v>18000</x:v>
      </x:c>
      <x:c r="D51" s="12" t="n">
        <x:v>18500</x:v>
      </x:c>
      <x:c r="E51" s="12" t="n">
        <x:v>19000</x:v>
      </x:c>
    </x:row>
    <x:row r="52">
      <x:c r="A52" s="9" t="str">
        <x:v>Price Per Unit</x:v>
      </x:c>
      <x:c r="B52" s="9" t="str">
        <x:v>USD mm</x:v>
      </x:c>
      <x:c r="C52" s="12" t="n">
        <x:v>0.6</x:v>
      </x:c>
      <x:c r="D52" s="12" t="n">
        <x:v>0.62</x:v>
      </x:c>
      <x:c r="E52" s="12" t="n">
        <x:v>0.65</x:v>
      </x:c>
    </x:row>
    <x:row r="53">
      <x:c r="A53" s="9" t="str">
        <x:v>Variable Cost Per Unit</x:v>
      </x:c>
      <x:c r="B53" s="9" t="str">
        <x:v>USD mm</x:v>
      </x:c>
      <x:c r="C53" s="12" t="n">
        <x:v>0.3</x:v>
      </x:c>
      <x:c r="D53" s="12" t="n">
        <x:v>0.3</x:v>
      </x:c>
      <x:c r="E53" s="12" t="n">
        <x:v>0.31</x:v>
      </x:c>
    </x:row>
    <x:row r="54">
      <x:c r="A54" s="9" t="str">
        <x:v>Units Produced</x:v>
      </x:c>
      <x:c r="B54" s="9" t="str">
        <x:v>USD mm</x:v>
      </x:c>
      <x:c r="C54" s="12" t="n">
        <x:v>100000</x:v>
      </x:c>
      <x:c r="D54" s="12" t="n">
        <x:v>105000</x:v>
      </x:c>
      <x:c r="E54" s="12" t="n">
        <x:v>110000</x:v>
      </x:c>
    </x:row>
    <x:row r="55">
      <x:c r="A55" s="9" t="str">
        <x:v>Actual Sales</x:v>
      </x:c>
      <x:c r="B55" s="9" t="str">
        <x:v>USD mm</x:v>
      </x:c>
      <x:c r="C55" s="12" t="n">
        <x:v>52000</x:v>
      </x:c>
      <x:c r="D55" s="12" t="n">
        <x:v>56000</x:v>
      </x:c>
      <x:c r="E55" s="12" t="n">
        <x:v>60000</x:v>
      </x:c>
    </x:row>
    <x:row r="56">
      <x:c r="A56" s="9" t="str">
        <x:v>Break-even Sales</x:v>
      </x:c>
      <x:c r="B56" s="9" t="str">
        <x:v>USD mm</x:v>
      </x:c>
      <x:c r="C56" s="12" t="n">
        <x:v>36000</x:v>
      </x:c>
      <x:c r="D56" s="12" t="n">
        <x:v>37000</x:v>
      </x:c>
      <x:c r="E56" s="12" t="n">
        <x:v>39000</x:v>
      </x:c>
    </x:row>
    <x:row r="57">
      <x:c r="A57" s="9" t="str">
        <x:v>Budgeted Amount</x:v>
      </x:c>
      <x:c r="B57" s="9" t="str">
        <x:v>USD mm</x:v>
      </x:c>
      <x:c r="C57" s="12" t="n">
        <x:v>23500</x:v>
      </x:c>
      <x:c r="D57" s="12" t="n">
        <x:v>24500</x:v>
      </x:c>
      <x:c r="E57" s="12" t="n">
        <x:v>26500</x:v>
      </x:c>
    </x:row>
    <x:row r="58">
      <x:c r="A58" s="9" t="str">
        <x:v>Actual Amount</x:v>
      </x:c>
      <x:c r="B58" s="9" t="str">
        <x:v>USD mm</x:v>
      </x:c>
      <x:c r="C58" s="12" t="n">
        <x:v>24000</x:v>
      </x:c>
      <x:c r="D58" s="12" t="n">
        <x:v>24700</x:v>
      </x:c>
      <x:c r="E58" s="12" t="n">
        <x:v>27100</x:v>
      </x:c>
    </x:row>
    <x:row r="59">
      <x:c r="A59" s="9" t="str">
        <x:v>Operating Expenses</x:v>
      </x:c>
      <x:c r="B59" s="9" t="str">
        <x:v>USD mm</x:v>
      </x:c>
      <x:c r="C59" s="12" t="n">
        <x:v>24000</x:v>
      </x:c>
      <x:c r="D59" s="12" t="n">
        <x:v>24700</x:v>
      </x:c>
      <x:c r="E59" s="12" t="n">
        <x:v>27100</x:v>
      </x:c>
    </x:row>
    <x:row r="60">
      <x:c r="A60" s="9" t="str">
        <x:v>Operating Costs</x:v>
      </x:c>
      <x:c r="B60" s="9" t="str">
        <x:v>USD mm</x:v>
      </x:c>
      <x:c r="C60" s="12" t="n">
        <x:v>42000</x:v>
      </x:c>
      <x:c r="D60" s="12" t="n">
        <x:v>44300</x:v>
      </x:c>
      <x:c r="E60" s="12" t="n">
        <x:v>44000</x:v>
      </x:c>
    </x:row>
    <x:row r="61">
      <x:c r="A61" s="9" t="str">
        <x:v>SG&amp;A Expenses</x:v>
      </x:c>
      <x:c r="B61" s="9" t="str">
        <x:v>USD mm</x:v>
      </x:c>
      <x:c r="C61" s="12" t="n">
        <x:v>14000</x:v>
      </x:c>
      <x:c r="D61" s="12" t="n">
        <x:v>14500</x:v>
      </x:c>
      <x:c r="E61" s="12" t="n">
        <x:v>15800</x:v>
      </x:c>
    </x:row>
    <x:row r="62">
      <x:c r="A62" s="9" t="str">
        <x:v>MRR</x:v>
      </x:c>
      <x:c r="B62" s="9" t="str">
        <x:v>USD mm</x:v>
      </x:c>
      <x:c r="C62" s="12" t="n">
        <x:v>7500</x:v>
      </x:c>
      <x:c r="D62" s="12" t="n">
        <x:v>8500</x:v>
      </x:c>
      <x:c r="E62" s="12" t="n">
        <x:v>10000</x:v>
      </x:c>
    </x:row>
    <x:row r="63">
      <x:c r="A63" s="9" t="str">
        <x:v>Sales &amp; Marketing Spend</x:v>
      </x:c>
      <x:c r="B63" s="9" t="str">
        <x:v>USD mm</x:v>
      </x:c>
      <x:c r="C63" s="12" t="n">
        <x:v>12000</x:v>
      </x:c>
      <x:c r="D63" s="12" t="n">
        <x:v>13500</x:v>
      </x:c>
      <x:c r="E63" s="12" t="n">
        <x:v>15000</x:v>
      </x:c>
    </x:row>
    <x:row r="64">
      <x:c r="A64" s="9" t="str">
        <x:v>New Customers</x:v>
      </x:c>
      <x:c r="B64" s="9" t="str">
        <x:v>USD mm</x:v>
      </x:c>
      <x:c r="C64" s="12" t="n">
        <x:v>120</x:v>
      </x:c>
      <x:c r="D64" s="12" t="n">
        <x:v>135</x:v>
      </x:c>
      <x:c r="E64" s="12" t="n">
        <x:v>150</x:v>
      </x:c>
    </x:row>
    <x:row r="65">
      <x:c r="A65" s="9" t="str">
        <x:v>ARPU</x:v>
      </x:c>
      <x:c r="B65" s="9" t="str">
        <x:v>USD mm</x:v>
      </x:c>
      <x:c r="C65" s="12" t="n">
        <x:v>60</x:v>
      </x:c>
      <x:c r="D65" s="12" t="n">
        <x:v>63</x:v>
      </x:c>
      <x:c r="E65" s="12" t="n">
        <x:v>67</x:v>
      </x:c>
    </x:row>
    <x:row r="66">
      <x:c r="A66" s="9" t="str">
        <x:v>Churn Rate</x:v>
      </x:c>
      <x:c r="B66" s="9" t="str">
        <x:v>%</x:v>
      </x:c>
      <x:c r="C66" s="14" t="n">
        <x:v>0.035</x:v>
      </x:c>
      <x:c r="D66" s="14" t="n">
        <x:v>0.032</x:v>
      </x:c>
      <x:c r="E66" s="14" t="n">
        <x:v>0.03</x:v>
      </x:c>
    </x:row>
    <x:row r="67">
      <x:c r="A67" s="9" t="str">
        <x:v>Starting ARR</x:v>
      </x:c>
      <x:c r="B67" s="9" t="str">
        <x:v>USD mm</x:v>
      </x:c>
      <x:c r="C67" s="12" t="n">
        <x:v>78000</x:v>
      </x:c>
      <x:c r="D67" s="12" t="n">
        <x:v>90000</x:v>
      </x:c>
      <x:c r="E67" s="12" t="n">
        <x:v>102000</x:v>
      </x:c>
    </x:row>
    <x:row r="68">
      <x:c r="A68" s="9" t="str">
        <x:v>Expansion ARR</x:v>
      </x:c>
      <x:c r="B68" s="9" t="str">
        <x:v>USD mm</x:v>
      </x:c>
      <x:c r="C68" s="12" t="n">
        <x:v>5000</x:v>
      </x:c>
      <x:c r="D68" s="12" t="n">
        <x:v>6000</x:v>
      </x:c>
      <x:c r="E68" s="12" t="n">
        <x:v>7500</x:v>
      </x:c>
    </x:row>
    <x:row r="69">
      <x:c r="A69" s="9" t="str">
        <x:v>Contraction ARR</x:v>
      </x:c>
      <x:c r="B69" s="9" t="str">
        <x:v>USD mm</x:v>
      </x:c>
      <x:c r="C69" s="12" t="n">
        <x:v>2000</x:v>
      </x:c>
      <x:c r="D69" s="12" t="n">
        <x:v>2200</x:v>
      </x:c>
      <x:c r="E69" s="12" t="n">
        <x:v>2500</x:v>
      </x:c>
    </x:row>
    <x:row r="70">
      <x:c r="A70" s="9" t="str">
        <x:v>Churn ARR</x:v>
      </x:c>
      <x:c r="B70" s="9" t="str">
        <x:v>USD mm</x:v>
      </x:c>
      <x:c r="C70" s="12" t="n">
        <x:v>2700</x:v>
      </x:c>
      <x:c r="D70" s="12" t="n">
        <x:v>2880</x:v>
      </x:c>
      <x:c r="E70" s="12" t="n">
        <x:v>3060</x:v>
      </x:c>
    </x:row>
    <x:row r="71">
      <x:c r="A71" s="9" t="str">
        <x:v>Customers Lost</x:v>
      </x:c>
      <x:c r="B71" s="9" t="str">
        <x:v>USD mm</x:v>
      </x:c>
      <x:c r="C71" s="12" t="n">
        <x:v>42</x:v>
      </x:c>
      <x:c r="D71" s="12" t="n">
        <x:v>45</x:v>
      </x:c>
      <x:c r="E71" s="12" t="n">
        <x:v>48</x:v>
      </x:c>
    </x:row>
    <x:row r="72">
      <x:c r="A72" s="9" t="str">
        <x:v>Starting Customers</x:v>
      </x:c>
      <x:c r="B72" s="9" t="str">
        <x:v>USD mm</x:v>
      </x:c>
      <x:c r="C72" s="12" t="n">
        <x:v>1200</x:v>
      </x:c>
      <x:c r="D72" s="12" t="n">
        <x:v>1400</x:v>
      </x:c>
      <x:c r="E72" s="12" t="n">
        <x:v>1600</x:v>
      </x:c>
    </x:row>
    <x:row r="73">
      <x:c r="A73" s="9" t="str">
        <x:v>Net Cash Burn</x:v>
      </x:c>
      <x:c r="B73" s="9" t="str">
        <x:v>USD mm</x:v>
      </x:c>
      <x:c r="C73" s="12" t="n">
        <x:v>2000</x:v>
      </x:c>
      <x:c r="D73" s="12" t="n">
        <x:v>2500</x:v>
      </x:c>
      <x:c r="E73" s="12" t="n">
        <x:v>3000</x:v>
      </x:c>
    </x:row>
    <x:row r="74">
      <x:c r="A74" s="9" t="str">
        <x:v>Net New ARR</x:v>
      </x:c>
      <x:c r="B74" s="9" t="str">
        <x:v>USD mm</x:v>
      </x:c>
      <x:c r="C74" s="12" t="n">
        <x:v>9000</x:v>
      </x:c>
      <x:c r="D74" s="12" t="n">
        <x:v>11000</x:v>
      </x:c>
      <x:c r="E74" s="12" t="n">
        <x:v>14000</x:v>
      </x:c>
    </x:row>
    <x:row r="75">
      <x:c r="A75" s="9" t="str">
        <x:v>Prior Revenue</x:v>
      </x:c>
      <x:c r="B75" s="9" t="str">
        <x:v>USD mm</x:v>
      </x:c>
      <x:c r="C75" s="12" t="n">
        <x:v>85000</x:v>
      </x:c>
      <x:c r="D75" s="12" t="n">
        <x:v>90000</x:v>
      </x:c>
      <x:c r="E75" s="12" t="n">
        <x:v>98000</x:v>
      </x:c>
    </x:row>
    <x:row r="76">
      <x:c r="A76" s="9" t="str">
        <x:v>Current Quarter Revenue</x:v>
      </x:c>
      <x:c r="B76" s="9" t="str">
        <x:v>USD mm</x:v>
      </x:c>
      <x:c r="C76" s="12" t="n">
        <x:v>24000</x:v>
      </x:c>
      <x:c r="D76" s="12" t="n">
        <x:v>26000</x:v>
      </x:c>
      <x:c r="E76" s="12" t="n">
        <x:v>28000</x:v>
      </x:c>
    </x:row>
    <x:row r="77">
      <x:c r="A77" s="9" t="str">
        <x:v>Prior Quarter Revenue</x:v>
      </x:c>
      <x:c r="B77" s="9" t="str">
        <x:v>USD mm</x:v>
      </x:c>
      <x:c r="C77" s="12" t="n">
        <x:v>22500</x:v>
      </x:c>
      <x:c r="D77" s="12" t="n">
        <x:v>24000</x:v>
      </x:c>
      <x:c r="E77" s="12" t="n">
        <x:v>26000</x:v>
      </x:c>
    </x:row>
    <x:row r="78">
      <x:c r="A78" s="9" t="str">
        <x:v>Prior Quarter Sales &amp; Marketing Spend</x:v>
      </x:c>
      <x:c r="B78" s="9" t="str">
        <x:v>USD mm</x:v>
      </x:c>
      <x:c r="C78" s="12" t="n">
        <x:v>2800</x:v>
      </x:c>
      <x:c r="D78" s="12" t="n">
        <x:v>3000</x:v>
      </x:c>
      <x:c r="E78" s="12" t="n">
        <x:v>3200</x:v>
      </x:c>
    </x:row>
    <x:row r="79">
      <x:c r="A79" s="9" t="str">
        <x:v>Total Production Cost</x:v>
      </x:c>
      <x:c r="B79" s="9" t="str">
        <x:v>USD mm</x:v>
      </x:c>
      <x:c r="C79" s="12" t="n">
        <x:v>30000</x:v>
      </x:c>
      <x:c r="D79" s="12" t="n">
        <x:v>32000</x:v>
      </x:c>
      <x:c r="E79" s="12" t="n">
        <x:v>34000</x:v>
      </x:c>
    </x:row>
    <x:row r="80">
      <x:c r="A80" s="9" t="str">
        <x:v>Beginning Cash</x:v>
      </x:c>
      <x:c r="B80" s="9" t="str">
        <x:v>USD mm</x:v>
      </x:c>
      <x:c r="C80" s="12" t="n">
        <x:v>16000</x:v>
      </x:c>
      <x:c r="D80" s="12" t="n">
        <x:v>18000</x:v>
      </x:c>
      <x:c r="E80" s="12" t="n">
        <x:v>22000</x:v>
      </x:c>
    </x:row>
    <x:row r="81">
      <x:c r="A81" s="9" t="str">
        <x:v>Ending Cash</x:v>
      </x:c>
      <x:c r="B81" s="9" t="str">
        <x:v>USD mm</x:v>
      </x:c>
      <x:c r="C81" s="12" t="n">
        <x:v>18000</x:v>
      </x:c>
      <x:c r="D81" s="12" t="n">
        <x:v>22000</x:v>
      </x:c>
      <x:c r="E81" s="12" t="n">
        <x:v>26000</x:v>
      </x:c>
    </x:row>
    <x:row r="82">
      <x:c r="A82" s="9" t="str">
        <x:v>Average Working Capital</x:v>
      </x:c>
      <x:c r="B82" s="9" t="str">
        <x:v>USD mm</x:v>
      </x:c>
      <x:c r="C82" s="12" t="n">
        <x:v>19000</x:v>
      </x:c>
      <x:c r="D82" s="12" t="n">
        <x:v>22000</x:v>
      </x:c>
      <x:c r="E82" s="12" t="n">
        <x:v>24500</x:v>
      </x:c>
    </x:row>
    <x:row r="83">
      <x:c r="A83" s="9" t="str">
        <x:v>Taxes</x:v>
      </x:c>
      <x:c r="B83" s="9" t="str">
        <x:v>USD mm</x:v>
      </x:c>
      <x:c r="C83" s="12" t="n">
        <x:v>3500</x:v>
      </x:c>
      <x:c r="D83" s="12" t="n">
        <x:v>4300</x:v>
      </x:c>
      <x:c r="E83" s="12" t="n">
        <x:v>5000</x:v>
      </x:c>
    </x:row>
    <x:row r="84">
      <x:c r="A84" s="9" t="str">
        <x:v>Sales</x:v>
      </x:c>
      <x:c r="B84" s="9" t="str">
        <x:v>USD mm</x:v>
      </x:c>
      <x:c r="C84" s="12" t="n">
        <x:v>52000</x:v>
      </x:c>
      <x:c r="D84" s="12" t="n">
        <x:v>56000</x:v>
      </x:c>
      <x:c r="E84" s="12" t="n">
        <x:v>60000</x:v>
      </x:c>
    </x:row>
    <x:row r="85">
      <x:c r="A85" s="9" t="str">
        <x:v>Variable Costs</x:v>
      </x:c>
      <x:c r="B85" s="9" t="str">
        <x:v>USD mm</x:v>
      </x:c>
      <x:c r="C85" s="12" t="n">
        <x:v>30000</x:v>
      </x:c>
      <x:c r="D85" s="12" t="n">
        <x:v>31500</x:v>
      </x:c>
      <x:c r="E85" s="12" t="n">
        <x:v>33000</x:v>
      </x:c>
    </x:row>
    <x:row r="86">
      <x:c r="A86" s="9" t="str">
        <x:v>Net Borrowing</x:v>
      </x:c>
      <x:c r="B86" s="9" t="str">
        <x:v>USD mm</x:v>
      </x:c>
      <x:c r="C86" s="12" t="n">
        <x:v>3000</x:v>
      </x:c>
      <x:c r="D86" s="12" t="n">
        <x:v>3500</x:v>
      </x:c>
      <x:c r="E86" s="12" t="n">
        <x:v>2500</x:v>
      </x:c>
    </x:row>
    <x:row r="87">
      <x:c r="A87" s="9"/>
      <x:c r="B87" s="9"/>
      <x:c r="C87" s="9"/>
      <x:c r="D87" s="9"/>
      <x:c r="E87" s="9"/>
    </x:row>
    <x:row r="88">
      <x:c r="A88" s="9"/>
      <x:c r="B88" s="9"/>
      <x:c r="C88" s="9"/>
      <x:c r="D88" s="9"/>
      <x:c r="E88" s="9"/>
    </x:row>
    <x:row r="89">
      <x:c r="A89" s="9"/>
      <x:c r="B89" s="9"/>
      <x:c r="C89" s="9"/>
      <x:c r="D89" s="9"/>
      <x:c r="E89" s="9"/>
    </x:row>
    <x:row r="90">
      <x:c r="A90" s="9"/>
      <x:c r="B90" s="9"/>
      <x:c r="C90" s="9"/>
      <x:c r="D90" s="9"/>
      <x:c r="E90" s="9"/>
    </x:row>
    <x:row r="91">
      <x:c r="A91" s="9"/>
      <x:c r="B91" s="9"/>
      <x:c r="C91" s="9"/>
      <x:c r="D91" s="9"/>
      <x:c r="E91" s="9"/>
    </x:row>
    <x:row r="92">
      <x:c r="A92" s="9"/>
      <x:c r="B92" s="9"/>
      <x:c r="C92" s="9"/>
      <x:c r="D92" s="9"/>
      <x:c r="E92" s="9"/>
    </x:row>
    <x:row r="93">
      <x:c r="A93" s="9"/>
      <x:c r="B93" s="9"/>
      <x:c r="C93" s="9"/>
      <x:c r="D93" s="9"/>
      <x:c r="E93" s="9"/>
    </x:row>
    <x:row r="94">
      <x:c r="A94" s="9"/>
      <x:c r="B94" s="9"/>
      <x:c r="C94" s="9"/>
      <x:c r="D94" s="9"/>
      <x:c r="E94" s="9"/>
    </x:row>
    <x:row r="95">
      <x:c r="A95" s="9"/>
      <x:c r="B95" s="9"/>
      <x:c r="C95" s="9"/>
      <x:c r="D95" s="9"/>
      <x:c r="E95" s="9"/>
    </x:row>
    <x:row r="96">
      <x:c r="A96" s="9"/>
      <x:c r="B96" s="9"/>
      <x:c r="C96" s="9"/>
      <x:c r="D96" s="9"/>
      <x:c r="E96" s="9"/>
    </x:row>
    <x:row r="97">
      <x:c r="A97" s="9"/>
      <x:c r="B97" s="9"/>
      <x:c r="C97" s="9"/>
      <x:c r="D97" s="9"/>
      <x:c r="E97" s="9"/>
    </x:row>
    <x:row r="98">
      <x:c r="A98" s="9"/>
      <x:c r="B98" s="9"/>
      <x:c r="C98" s="9"/>
      <x:c r="D98" s="9"/>
      <x:c r="E98" s="9"/>
    </x:row>
    <x:row r="99">
      <x:c r="A99" s="9"/>
      <x:c r="B99" s="9"/>
      <x:c r="C99" s="9"/>
      <x:c r="D99" s="9"/>
      <x:c r="E99" s="9"/>
    </x:row>
    <x:row r="100">
      <x:c r="A100" s="9"/>
      <x:c r="B100" s="9"/>
      <x:c r="C100" s="9"/>
      <x:c r="D100" s="9"/>
      <x:c r="E100" s="9"/>
    </x:row>
    <x:row r="101">
      <x:c r="A101" s="9"/>
      <x:c r="B101" s="9"/>
      <x:c r="C101" s="9"/>
      <x:c r="D101" s="9"/>
      <x:c r="E101" s="9"/>
    </x:row>
    <x:row r="102">
      <x:c r="A102" s="9"/>
      <x:c r="B102" s="9"/>
      <x:c r="C102" s="9"/>
      <x:c r="D102" s="9"/>
      <x:c r="E102" s="9"/>
    </x:row>
    <x:row r="103">
      <x:c r="A103" s="9"/>
      <x:c r="B103" s="9"/>
      <x:c r="C103" s="9"/>
      <x:c r="D103" s="9"/>
      <x:c r="E103" s="9"/>
    </x:row>
    <x:row r="104">
      <x:c r="A104" s="9"/>
      <x:c r="B104" s="9"/>
      <x:c r="C104" s="9"/>
      <x:c r="D104" s="9"/>
      <x:c r="E104" s="9"/>
    </x:row>
    <x:row r="105">
      <x:c r="A105" s="9"/>
      <x:c r="B105" s="9"/>
      <x:c r="C105" s="9"/>
      <x:c r="D105" s="9"/>
      <x:c r="E105" s="9"/>
    </x:row>
    <x:row r="106">
      <x:c r="A106" s="9"/>
      <x:c r="B106" s="9"/>
      <x:c r="C106" s="9"/>
      <x:c r="D106" s="9"/>
      <x:c r="E106" s="9"/>
    </x:row>
    <x:row r="107">
      <x:c r="A107" s="9"/>
      <x:c r="B107" s="9"/>
      <x:c r="C107" s="9"/>
      <x:c r="D107" s="9"/>
      <x:c r="E107" s="9"/>
    </x:row>
    <x:row r="108">
      <x:c r="A108" s="9"/>
      <x:c r="B108" s="9"/>
      <x:c r="C108" s="9"/>
      <x:c r="D108" s="9"/>
      <x:c r="E108" s="9"/>
    </x:row>
    <x:row r="109">
      <x:c r="A109" s="9"/>
      <x:c r="B109" s="9"/>
      <x:c r="C109" s="9"/>
      <x:c r="D109" s="9"/>
      <x:c r="E109" s="9"/>
    </x:row>
    <x:row r="110">
      <x:c r="A110" s="9"/>
      <x:c r="B110" s="9"/>
      <x:c r="C110" s="9"/>
      <x:c r="D110" s="9"/>
      <x:c r="E110" s="9"/>
    </x:row>
    <x:row r="111">
      <x:c r="A111" s="9"/>
      <x:c r="B111" s="9"/>
      <x:c r="C111" s="9"/>
      <x:c r="D111" s="9"/>
      <x:c r="E111" s="9"/>
    </x:row>
    <x:row r="112">
      <x:c r="A112" s="9"/>
      <x:c r="B112" s="9"/>
      <x:c r="C112" s="9"/>
      <x:c r="D112" s="9"/>
      <x:c r="E112" s="9"/>
    </x:row>
    <x:row r="113">
      <x:c r="A113" s="9"/>
      <x:c r="B113" s="9"/>
      <x:c r="C113" s="9"/>
      <x:c r="D113" s="9"/>
      <x:c r="E113" s="9"/>
    </x:row>
    <x:row r="114">
      <x:c r="A114" s="9"/>
      <x:c r="B114" s="9"/>
      <x:c r="C114" s="9"/>
      <x:c r="D114" s="9"/>
      <x:c r="E114" s="9"/>
    </x:row>
    <x:row r="115">
      <x:c r="A115" s="9"/>
      <x:c r="B115" s="9"/>
      <x:c r="C115" s="9"/>
      <x:c r="D115" s="9"/>
      <x:c r="E115" s="9"/>
    </x:row>
    <x:row r="116">
      <x:c r="A116" s="9"/>
      <x:c r="B116" s="9"/>
      <x:c r="C116" s="9"/>
      <x:c r="D116" s="9"/>
      <x:c r="E116" s="9"/>
    </x:row>
    <x:row r="117">
      <x:c r="A117" s="9"/>
      <x:c r="B117" s="9"/>
      <x:c r="C117" s="9"/>
      <x:c r="D117" s="9"/>
      <x:c r="E117" s="9"/>
    </x:row>
    <x:row r="118">
      <x:c r="A118" s="9"/>
      <x:c r="B118" s="9"/>
      <x:c r="C118" s="9"/>
      <x:c r="D118" s="9"/>
      <x:c r="E118" s="9"/>
    </x:row>
    <x:row r="119">
      <x:c r="A119" s="9"/>
      <x:c r="B119" s="9"/>
      <x:c r="C119" s="9"/>
      <x:c r="D119" s="9"/>
      <x:c r="E119" s="9"/>
    </x:row>
    <x:row r="120">
      <x:c r="A120" s="9"/>
      <x:c r="B120" s="9"/>
      <x:c r="C120" s="9"/>
      <x:c r="D120" s="9"/>
      <x:c r="E120" s="9"/>
    </x:row>
    <x:row r="121">
      <x:c r="A121" s="9"/>
      <x:c r="B121" s="9"/>
      <x:c r="C121" s="9"/>
      <x:c r="D121" s="9"/>
      <x:c r="E121" s="9"/>
    </x:row>
    <x:row r="122">
      <x:c r="A122" s="9"/>
      <x:c r="B122" s="9"/>
      <x:c r="C122" s="9"/>
      <x:c r="D122" s="9"/>
      <x:c r="E122" s="9"/>
    </x:row>
    <x:row r="123">
      <x:c r="A123" s="9"/>
      <x:c r="B123" s="9"/>
      <x:c r="C123" s="9"/>
      <x:c r="D123" s="9"/>
      <x:c r="E123" s="9"/>
    </x:row>
    <x:row r="124">
      <x:c r="A124" s="9"/>
      <x:c r="B124" s="9"/>
      <x:c r="C124" s="9"/>
      <x:c r="D124" s="9"/>
      <x:c r="E124" s="9"/>
    </x:row>
    <x:row r="125">
      <x:c r="A125" s="9"/>
      <x:c r="B125" s="9"/>
      <x:c r="C125" s="9"/>
      <x:c r="D125" s="9"/>
      <x:c r="E125" s="9"/>
    </x:row>
    <x:row r="126">
      <x:c r="A126" s="9"/>
      <x:c r="B126" s="9"/>
      <x:c r="C126" s="9"/>
      <x:c r="D126" s="9"/>
      <x:c r="E126" s="9"/>
    </x:row>
    <x:row r="127">
      <x:c r="A127" s="9"/>
      <x:c r="B127" s="9"/>
      <x:c r="C127" s="9"/>
      <x:c r="D127" s="9"/>
      <x:c r="E127" s="9"/>
    </x:row>
    <x:row r="128">
      <x:c r="A128" s="9"/>
      <x:c r="B128" s="9"/>
      <x:c r="C128" s="9"/>
      <x:c r="D128" s="9"/>
      <x:c r="E128" s="9"/>
    </x:row>
    <x:row r="129">
      <x:c r="A129" s="9"/>
      <x:c r="B129" s="9"/>
      <x:c r="C129" s="9"/>
      <x:c r="D129" s="9"/>
      <x:c r="E129" s="9"/>
    </x:row>
    <x:row r="130">
      <x:c r="A130" s="9"/>
      <x:c r="B130" s="9"/>
      <x:c r="C130" s="9"/>
      <x:c r="D130" s="9"/>
      <x:c r="E130" s="9"/>
    </x:row>
    <x:row r="131">
      <x:c r="A131" s="9"/>
      <x:c r="B131" s="9"/>
      <x:c r="C131" s="9"/>
      <x:c r="D131" s="9"/>
      <x:c r="E131" s="9"/>
    </x:row>
    <x:row r="132">
      <x:c r="A132" s="9"/>
      <x:c r="B132" s="9"/>
      <x:c r="C132" s="9"/>
      <x:c r="D132" s="9"/>
      <x:c r="E132" s="9"/>
    </x:row>
    <x:row r="133">
      <x:c r="A133" s="9"/>
      <x:c r="B133" s="9"/>
      <x:c r="C133" s="9"/>
      <x:c r="D133" s="9"/>
      <x:c r="E133" s="9"/>
    </x:row>
    <x:row r="134">
      <x:c r="A134" s="9"/>
      <x:c r="B134" s="9"/>
      <x:c r="C134" s="9"/>
      <x:c r="D134" s="9"/>
      <x:c r="E134" s="9"/>
    </x:row>
    <x:row r="135">
      <x:c r="A135" s="9"/>
      <x:c r="B135" s="9"/>
      <x:c r="C135" s="9"/>
      <x:c r="D135" s="9"/>
      <x:c r="E135" s="9"/>
    </x:row>
    <x:row r="136">
      <x:c r="A136" s="9"/>
      <x:c r="B136" s="9"/>
      <x:c r="C136" s="9"/>
      <x:c r="D136" s="9"/>
      <x:c r="E136" s="9"/>
    </x:row>
    <x:row r="137">
      <x:c r="A137" s="9"/>
      <x:c r="B137" s="9"/>
      <x:c r="C137" s="9"/>
      <x:c r="D137" s="9"/>
      <x:c r="E137" s="9"/>
    </x:row>
    <x:row r="138">
      <x:c r="A138" s="9"/>
      <x:c r="B138" s="9"/>
      <x:c r="C138" s="9"/>
      <x:c r="D138" s="9"/>
      <x:c r="E138" s="9"/>
    </x:row>
    <x:row r="139">
      <x:c r="A139" s="9"/>
      <x:c r="B139" s="9"/>
      <x:c r="C139" s="9"/>
      <x:c r="D139" s="9"/>
      <x:c r="E139" s="9"/>
    </x:row>
    <x:row r="140">
      <x:c r="A140" s="9"/>
      <x:c r="B140" s="9"/>
      <x:c r="C140" s="9"/>
      <x:c r="D140" s="9"/>
      <x:c r="E140" s="9"/>
    </x:row>
    <x:row r="141">
      <x:c r="A141" s="9"/>
      <x:c r="B141" s="9"/>
      <x:c r="C141" s="9"/>
      <x:c r="D141" s="9"/>
      <x:c r="E141" s="9"/>
    </x:row>
    <x:row r="142">
      <x:c r="A142" s="9"/>
      <x:c r="B142" s="9"/>
      <x:c r="C142" s="9"/>
      <x:c r="D142" s="9"/>
      <x:c r="E142" s="9"/>
    </x:row>
    <x:row r="143">
      <x:c r="A143" s="9"/>
      <x:c r="B143" s="9"/>
      <x:c r="C143" s="9"/>
      <x:c r="D143" s="9"/>
      <x:c r="E143" s="9"/>
    </x:row>
    <x:row r="144">
      <x:c r="A144" s="9"/>
      <x:c r="B144" s="9"/>
      <x:c r="C144" s="9"/>
      <x:c r="D144" s="9"/>
      <x:c r="E144" s="9"/>
    </x:row>
    <x:row r="145">
      <x:c r="A145" s="9"/>
      <x:c r="B145" s="9"/>
      <x:c r="C145" s="9"/>
      <x:c r="D145" s="9"/>
      <x:c r="E145" s="9"/>
    </x:row>
    <x:row r="146">
      <x:c r="A146" s="9"/>
      <x:c r="B146" s="9"/>
      <x:c r="C146" s="9"/>
      <x:c r="D146" s="9"/>
      <x:c r="E146" s="9"/>
    </x:row>
    <x:row r="147">
      <x:c r="A147" s="9"/>
      <x:c r="B147" s="9"/>
      <x:c r="C147" s="9"/>
      <x:c r="D147" s="9"/>
      <x:c r="E147" s="9"/>
    </x:row>
    <x:row r="148">
      <x:c r="A148" s="9"/>
      <x:c r="B148" s="9"/>
      <x:c r="C148" s="9"/>
      <x:c r="D148" s="9"/>
      <x:c r="E148" s="9"/>
    </x:row>
    <x:row r="149">
      <x:c r="A149" s="9"/>
      <x:c r="B149" s="9"/>
      <x:c r="C149" s="9"/>
      <x:c r="D149" s="9"/>
      <x:c r="E149" s="9"/>
    </x:row>
    <x:row r="150">
      <x:c r="A150" s="9"/>
      <x:c r="B150" s="9"/>
      <x:c r="C150" s="9"/>
      <x:c r="D150" s="9"/>
      <x:c r="E150" s="9"/>
    </x:row>
    <x:row r="151">
      <x:c r="A151" s="9"/>
      <x:c r="B151" s="9"/>
      <x:c r="C151" s="9"/>
      <x:c r="D151" s="9"/>
      <x:c r="E151" s="9"/>
    </x:row>
    <x:row r="152">
      <x:c r="A152" s="9"/>
      <x:c r="B152" s="9"/>
      <x:c r="C152" s="9"/>
      <x:c r="D152" s="9"/>
      <x:c r="E152" s="9"/>
    </x:row>
    <x:row r="153">
      <x:c r="A153" s="9"/>
      <x:c r="B153" s="9"/>
      <x:c r="C153" s="9"/>
      <x:c r="D153" s="9"/>
      <x:c r="E153" s="9"/>
    </x:row>
    <x:row r="154">
      <x:c r="A154" s="9"/>
      <x:c r="B154" s="9"/>
      <x:c r="C154" s="9"/>
      <x:c r="D154" s="9"/>
      <x:c r="E154" s="9"/>
    </x:row>
    <x:row r="155">
      <x:c r="A155" s="9"/>
      <x:c r="B155" s="9"/>
      <x:c r="C155" s="9"/>
      <x:c r="D155" s="9"/>
      <x:c r="E155" s="9"/>
    </x:row>
    <x:row r="156">
      <x:c r="A156" s="9"/>
      <x:c r="B156" s="9"/>
      <x:c r="C156" s="9"/>
      <x:c r="D156" s="9"/>
      <x:c r="E156" s="9"/>
    </x:row>
    <x:row r="157">
      <x:c r="A157" s="9"/>
      <x:c r="B157" s="9"/>
      <x:c r="C157" s="9"/>
      <x:c r="D157" s="9"/>
      <x:c r="E157" s="9"/>
    </x:row>
    <x:row r="158">
      <x:c r="A158" s="9"/>
      <x:c r="B158" s="9"/>
      <x:c r="C158" s="9"/>
      <x:c r="D158" s="9"/>
      <x:c r="E158" s="9"/>
    </x:row>
    <x:row r="159">
      <x:c r="A159" s="9"/>
      <x:c r="B159" s="9"/>
      <x:c r="C159" s="9"/>
      <x:c r="D159" s="9"/>
      <x:c r="E159" s="9"/>
    </x:row>
    <x:row r="160">
      <x:c r="A160" s="9"/>
      <x:c r="B160" s="9"/>
      <x:c r="C160" s="9"/>
      <x:c r="D160" s="9"/>
      <x:c r="E160" s="9"/>
    </x:row>
    <x:row r="161">
      <x:c r="A161" s="9"/>
      <x:c r="B161" s="9"/>
      <x:c r="C161" s="9"/>
      <x:c r="D161" s="9"/>
      <x:c r="E161" s="9"/>
    </x:row>
    <x:row r="162">
      <x:c r="A162" s="9"/>
      <x:c r="B162" s="9"/>
      <x:c r="C162" s="9"/>
      <x:c r="D162" s="9"/>
      <x:c r="E162" s="9"/>
    </x:row>
    <x:row r="163">
      <x:c r="A163" s="9"/>
      <x:c r="B163" s="9"/>
      <x:c r="C163" s="9"/>
      <x:c r="D163" s="9"/>
      <x:c r="E163" s="9"/>
    </x:row>
    <x:row r="164">
      <x:c r="A164" s="9"/>
      <x:c r="B164" s="9"/>
      <x:c r="C164" s="9"/>
      <x:c r="D164" s="9"/>
      <x:c r="E164" s="9"/>
    </x:row>
    <x:row r="165">
      <x:c r="A165" s="9"/>
      <x:c r="B165" s="9"/>
      <x:c r="C165" s="9"/>
      <x:c r="D165" s="9"/>
      <x:c r="E165" s="9"/>
    </x:row>
    <x:row r="166">
      <x:c r="A166" s="9"/>
      <x:c r="B166" s="9"/>
      <x:c r="C166" s="9"/>
      <x:c r="D166" s="9"/>
      <x:c r="E166" s="9"/>
    </x:row>
    <x:row r="167">
      <x:c r="A167" s="9"/>
      <x:c r="B167" s="9"/>
      <x:c r="C167" s="9"/>
      <x:c r="D167" s="9"/>
      <x:c r="E167" s="9"/>
    </x:row>
    <x:row r="168">
      <x:c r="A168" s="9"/>
      <x:c r="B168" s="9"/>
      <x:c r="C168" s="9"/>
      <x:c r="D168" s="9"/>
      <x:c r="E168" s="9"/>
    </x:row>
    <x:row r="169">
      <x:c r="A169" s="9"/>
      <x:c r="B169" s="9"/>
      <x:c r="C169" s="9"/>
      <x:c r="D169" s="9"/>
      <x:c r="E169" s="9"/>
    </x:row>
    <x:row r="170">
      <x:c r="A170" s="9"/>
      <x:c r="B170" s="9"/>
      <x:c r="C170" s="9"/>
      <x:c r="D170" s="9"/>
      <x:c r="E170" s="9"/>
    </x:row>
    <x:row r="171">
      <x:c r="A171" s="9"/>
      <x:c r="B171" s="9"/>
      <x:c r="C171" s="9"/>
      <x:c r="D171" s="9"/>
      <x:c r="E171" s="9"/>
    </x:row>
    <x:row r="172">
      <x:c r="A172" s="9"/>
      <x:c r="B172" s="9"/>
      <x:c r="C172" s="9"/>
      <x:c r="D172" s="9"/>
      <x:c r="E172" s="9"/>
    </x:row>
    <x:row r="173">
      <x:c r="A173" s="9"/>
      <x:c r="B173" s="9"/>
      <x:c r="C173" s="9"/>
      <x:c r="D173" s="9"/>
      <x:c r="E173" s="9"/>
    </x:row>
    <x:row r="174">
      <x:c r="A174" s="9"/>
      <x:c r="B174" s="9"/>
      <x:c r="C174" s="9"/>
      <x:c r="D174" s="9"/>
      <x:c r="E174" s="9"/>
    </x:row>
    <x:row r="175">
      <x:c r="A175" s="9"/>
      <x:c r="B175" s="9"/>
      <x:c r="C175" s="9"/>
      <x:c r="D175" s="9"/>
      <x:c r="E175" s="9"/>
    </x:row>
    <x:row r="176">
      <x:c r="A176" s="9"/>
      <x:c r="B176" s="9"/>
      <x:c r="C176" s="9"/>
      <x:c r="D176" s="9"/>
      <x:c r="E176" s="9"/>
    </x:row>
    <x:row r="177">
      <x:c r="A177" s="9"/>
      <x:c r="B177" s="9"/>
      <x:c r="C177" s="9"/>
      <x:c r="D177" s="9"/>
      <x:c r="E177" s="9"/>
    </x:row>
    <x:row r="178">
      <x:c r="A178" s="9"/>
      <x:c r="B178" s="9"/>
      <x:c r="C178" s="9"/>
      <x:c r="D178" s="9"/>
      <x:c r="E178" s="9"/>
    </x:row>
    <x:row r="179">
      <x:c r="A179" s="9"/>
      <x:c r="B179" s="9"/>
      <x:c r="C179" s="9"/>
      <x:c r="D179" s="9"/>
      <x:c r="E179" s="9"/>
    </x:row>
    <x:row r="180">
      <x:c r="A180" s="9"/>
      <x:c r="B180" s="9"/>
      <x:c r="C180" s="9"/>
      <x:c r="D180" s="9"/>
      <x:c r="E180" s="9"/>
    </x:row>
    <x:row r="181">
      <x:c r="A181" s="9"/>
      <x:c r="B181" s="9"/>
      <x:c r="C181" s="9"/>
      <x:c r="D181" s="9"/>
      <x:c r="E181" s="9"/>
    </x:row>
    <x:row r="182">
      <x:c r="A182" s="9"/>
      <x:c r="B182" s="9"/>
      <x:c r="C182" s="9"/>
      <x:c r="D182" s="9"/>
      <x:c r="E182" s="9"/>
    </x:row>
    <x:row r="183">
      <x:c r="A183" s="9"/>
      <x:c r="B183" s="9"/>
      <x:c r="C183" s="9"/>
      <x:c r="D183" s="9"/>
      <x:c r="E183" s="9"/>
    </x:row>
    <x:row r="184">
      <x:c r="A184" s="9"/>
      <x:c r="B184" s="9"/>
      <x:c r="C184" s="9"/>
      <x:c r="D184" s="9"/>
      <x:c r="E184" s="9"/>
    </x:row>
    <x:row r="185">
      <x:c r="A185" s="9"/>
      <x:c r="B185" s="9"/>
      <x:c r="C185" s="9"/>
      <x:c r="D185" s="9"/>
      <x:c r="E185" s="9"/>
    </x:row>
    <x:row r="186">
      <x:c r="A186" s="9"/>
      <x:c r="B186" s="9"/>
      <x:c r="C186" s="9"/>
      <x:c r="D186" s="9"/>
      <x:c r="E186" s="9"/>
    </x:row>
    <x:row r="187">
      <x:c r="A187" s="9"/>
      <x:c r="B187" s="9"/>
      <x:c r="C187" s="9"/>
      <x:c r="D187" s="9"/>
      <x:c r="E187" s="9"/>
    </x:row>
    <x:row r="188">
      <x:c r="A188" s="9"/>
      <x:c r="B188" s="9"/>
      <x:c r="C188" s="9"/>
      <x:c r="D188" s="9"/>
      <x:c r="E188" s="9"/>
    </x:row>
    <x:row r="189">
      <x:c r="A189" s="9"/>
      <x:c r="B189" s="9"/>
      <x:c r="C189" s="9"/>
      <x:c r="D189" s="9"/>
      <x:c r="E189" s="9"/>
    </x:row>
    <x:row r="190">
      <x:c r="A190" s="9"/>
      <x:c r="B190" s="9"/>
      <x:c r="C190" s="9"/>
      <x:c r="D190" s="9"/>
      <x:c r="E190" s="9"/>
    </x:row>
    <x:row r="191">
      <x:c r="A191" s="9"/>
      <x:c r="B191" s="9"/>
      <x:c r="C191" s="9"/>
      <x:c r="D191" s="9"/>
      <x:c r="E191" s="9"/>
    </x:row>
    <x:row r="192">
      <x:c r="A192" s="9"/>
      <x:c r="B192" s="9"/>
      <x:c r="C192" s="9"/>
      <x:c r="D192" s="9"/>
      <x:c r="E192" s="9"/>
    </x:row>
    <x:row r="193">
      <x:c r="A193" s="9"/>
      <x:c r="B193" s="9"/>
      <x:c r="C193" s="9"/>
      <x:c r="D193" s="9"/>
      <x:c r="E193" s="9"/>
    </x:row>
    <x:row r="194">
      <x:c r="A194" s="9"/>
      <x:c r="B194" s="9"/>
      <x:c r="C194" s="9"/>
      <x:c r="D194" s="9"/>
      <x:c r="E194" s="9"/>
    </x:row>
    <x:row r="195">
      <x:c r="A195" s="9"/>
      <x:c r="B195" s="9"/>
      <x:c r="C195" s="9"/>
      <x:c r="D195" s="9"/>
      <x:c r="E195" s="9"/>
    </x:row>
    <x:row r="196">
      <x:c r="A196" s="9"/>
      <x:c r="B196" s="9"/>
      <x:c r="C196" s="9"/>
      <x:c r="D196" s="9"/>
      <x:c r="E196" s="9"/>
    </x:row>
    <x:row r="197">
      <x:c r="A197" s="9"/>
      <x:c r="B197" s="9"/>
      <x:c r="C197" s="9"/>
      <x:c r="D197" s="9"/>
      <x:c r="E197" s="9"/>
    </x:row>
    <x:row r="198">
      <x:c r="A198" s="9"/>
      <x:c r="B198" s="9"/>
      <x:c r="C198" s="9"/>
      <x:c r="D198" s="9"/>
      <x:c r="E198" s="9"/>
    </x:row>
    <x:row r="199">
      <x:c r="A199" s="9"/>
      <x:c r="B199" s="9"/>
      <x:c r="C199" s="9"/>
      <x:c r="D199" s="9"/>
      <x:c r="E199" s="9"/>
    </x:row>
    <x:row r="200">
      <x:c r="A200" s="9"/>
      <x:c r="B200" s="9"/>
      <x:c r="C200" s="9"/>
      <x:c r="D200" s="9"/>
      <x:c r="E200" s="9"/>
    </x:row>
  </x:sheetData>
  <x:pageMargins left="0.7" right="0.7" top="0.75" bottom="0.75" header="0.3" footer="0.3"/>
  <x:tableParts count="1">
    <x:tablePart xmlns:r="http://schemas.openxmlformats.org/officeDocument/2006/relationships" r:id="R72fb84f11d8941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5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</x:cols>
  <x:sheetData>
    <x:row r="1">
      <x:c r="A1" s="8" t="str">
        <x:v>KPI #</x:v>
      </x:c>
      <x:c r="B1" s="8" t="str">
        <x:v>KPI ID</x:v>
      </x:c>
      <x:c r="C1" s="8" t="str">
        <x:v>KPI</x:v>
      </x:c>
      <x:c r="D1" s="8" t="str">
        <x:v>Category</x:v>
      </x:c>
      <x:c r="E1" s="8" t="str">
        <x:v>Unit</x:v>
      </x:c>
      <x:c r="F1" s="8" t="str">
        <x:v>2023</x:v>
      </x:c>
      <x:c r="G1" s="8" t="str">
        <x:v>2024</x:v>
      </x:c>
      <x:c r="H1" s="8" t="str">
        <x:v>2025</x:v>
      </x:c>
      <x:c r="I1" s="8" t="str">
        <x:v>Test</x:v>
      </x:c>
    </x:row>
    <x:row r="2">
      <x:c r="A2" s="9" t="n">
        <x:v>1</x:v>
      </x:c>
      <x:c r="B2" s="9" t="str">
        <x:v>current-ratio</x:v>
      </x:c>
      <x:c r="C2" s="9" t="str">
        <x:v>Current Ratio</x:v>
      </x:c>
      <x:c r="D2" s="9" t="str">
        <x:v>Liquidity</x:v>
      </x:c>
      <x:c r="E2" s="9" t="str">
        <x:v>x</x:v>
      </x:c>
      <x:c r="F2" s="16" t="n">
        <x:f>'Comprehensive Inputs'!$C$9/'Comprehensive Inputs'!$C$10</x:f>
        <x:v>1.5</x:v>
      </x:c>
      <x:c r="G2" s="16" t="n">
        <x:f>'Comprehensive Inputs'!$D$9/'Comprehensive Inputs'!$D$10</x:f>
        <x:v>1.5813953488372092</x:v>
      </x:c>
      <x:c r="H2" s="16" t="n">
        <x:f>'Comprehensive Inputs'!$E$9/'Comprehensive Inputs'!$E$10</x:f>
        <x:v>1.6170212765957446</x:v>
      </x:c>
      <x:c r="I2" s="18" t="str">
        <x:v>PASS</x:v>
      </x:c>
    </x:row>
    <x:row r="3">
      <x:c r="A3" s="9" t="n">
        <x:v>2</x:v>
      </x:c>
      <x:c r="B3" s="9" t="str">
        <x:v>quick-ratio</x:v>
      </x:c>
      <x:c r="C3" s="9" t="str">
        <x:v>Quick Ratio (Acid-Test)</x:v>
      </x:c>
      <x:c r="D3" s="9" t="str">
        <x:v>Liquidity</x:v>
      </x:c>
      <x:c r="E3" s="9" t="str">
        <x:v>x</x:v>
      </x:c>
      <x:c r="F3" s="16" t="n">
        <x:f>('Comprehensive Inputs'!$C$9-'Comprehensive Inputs'!$C$16)/'Comprehensive Inputs'!$C$10</x:f>
        <x:v>1.1</x:v>
      </x:c>
      <x:c r="G3" s="16" t="n">
        <x:f>('Comprehensive Inputs'!$D$9-'Comprehensive Inputs'!$D$16)/'Comprehensive Inputs'!$D$10</x:f>
        <x:v>1.1744186046511629</x:v>
      </x:c>
      <x:c r="H3" s="16" t="n">
        <x:f>('Comprehensive Inputs'!$E$9-'Comprehensive Inputs'!$E$16)/'Comprehensive Inputs'!$E$10</x:f>
        <x:v>1.2127659574468086</x:v>
      </x:c>
      <x:c r="I3" s="18" t="str">
        <x:v>PASS</x:v>
      </x:c>
    </x:row>
    <x:row r="4">
      <x:c r="A4" s="9" t="n">
        <x:v>3</x:v>
      </x:c>
      <x:c r="B4" s="9" t="str">
        <x:v>cash-ratio</x:v>
      </x:c>
      <x:c r="C4" s="9" t="str">
        <x:v>Cash Ratio</x:v>
      </x:c>
      <x:c r="D4" s="9" t="str">
        <x:v>Liquidity</x:v>
      </x:c>
      <x:c r="E4" s="9" t="str">
        <x:v>x</x:v>
      </x:c>
      <x:c r="F4" s="16" t="n">
        <x:f>'Comprehensive Inputs'!$C$8/'Comprehensive Inputs'!$C$10</x:f>
        <x:v>0.45</x:v>
      </x:c>
      <x:c r="G4" s="16" t="n">
        <x:f>'Comprehensive Inputs'!$D$8/'Comprehensive Inputs'!$D$10</x:f>
        <x:v>0.5116279069767442</x:v>
      </x:c>
      <x:c r="H4" s="16" t="n">
        <x:f>'Comprehensive Inputs'!$E$8/'Comprehensive Inputs'!$E$10</x:f>
        <x:v>0.5531914893617021</x:v>
      </x:c>
      <x:c r="I4" s="18" t="str">
        <x:v>PASS</x:v>
      </x:c>
    </x:row>
    <x:row r="5">
      <x:c r="A5" s="9" t="n">
        <x:v>4</x:v>
      </x:c>
      <x:c r="B5" s="9" t="str">
        <x:v>working-capital</x:v>
      </x:c>
      <x:c r="C5" s="9" t="str">
        <x:v>Working Capital</x:v>
      </x:c>
      <x:c r="D5" s="9" t="str">
        <x:v>Liquidity</x:v>
      </x:c>
      <x:c r="E5" s="9" t="str"/>
      <x:c r="F5" s="12" t="n">
        <x:f>'Comprehensive Inputs'!$C$9-'Comprehensive Inputs'!$C$10</x:f>
        <x:v>20000</x:v>
      </x:c>
      <x:c r="G5" s="12" t="n">
        <x:f>'Comprehensive Inputs'!$D$9-'Comprehensive Inputs'!$D$10</x:f>
        <x:v>25000</x:v>
      </x:c>
      <x:c r="H5" s="12" t="n">
        <x:f>'Comprehensive Inputs'!$E$9-'Comprehensive Inputs'!$E$10</x:f>
        <x:v>29000</x:v>
      </x:c>
      <x:c r="I5" s="18" t="str">
        <x:v>PASS</x:v>
      </x:c>
    </x:row>
    <x:row r="6">
      <x:c r="A6" s="9" t="n">
        <x:v>5</x:v>
      </x:c>
      <x:c r="B6" s="9" t="str">
        <x:v>working-capital-ratio</x:v>
      </x:c>
      <x:c r="C6" s="9" t="str">
        <x:v>Working Capital Ratio</x:v>
      </x:c>
      <x:c r="D6" s="9" t="str">
        <x:v>Liquidity</x:v>
      </x:c>
      <x:c r="E6" s="9" t="str"/>
      <x:c r="F6" s="12" t="n">
        <x:f>'Comprehensive Inputs'!$C$9/'Comprehensive Inputs'!$C$10</x:f>
        <x:v>1.5</x:v>
      </x:c>
      <x:c r="G6" s="12" t="n">
        <x:f>'Comprehensive Inputs'!$D$9/'Comprehensive Inputs'!$D$10</x:f>
        <x:v>1.5813953488372092</x:v>
      </x:c>
      <x:c r="H6" s="12" t="n">
        <x:f>'Comprehensive Inputs'!$E$9/'Comprehensive Inputs'!$E$10</x:f>
        <x:v>1.6170212765957446</x:v>
      </x:c>
      <x:c r="I6" s="18" t="str">
        <x:v>PASS</x:v>
      </x:c>
    </x:row>
    <x:row r="7">
      <x:c r="A7" s="9" t="n">
        <x:v>6</x:v>
      </x:c>
      <x:c r="B7" s="9" t="str">
        <x:v>nwc-to-sales</x:v>
      </x:c>
      <x:c r="C7" s="9" t="str">
        <x:v>Net Working Capital to Sales</x:v>
      </x:c>
      <x:c r="D7" s="9" t="str">
        <x:v>Liquidity</x:v>
      </x:c>
      <x:c r="E7" s="9" t="str"/>
      <x:c r="F7" s="12" t="n">
        <x:f>('Comprehensive Inputs'!$C$9-'Comprehensive Inputs'!$C$10)/'Comprehensive Inputs'!$C$2</x:f>
        <x:v>0.2222222222222222</x:v>
      </x:c>
      <x:c r="G7" s="12" t="n">
        <x:f>('Comprehensive Inputs'!$D$9-'Comprehensive Inputs'!$D$10)/'Comprehensive Inputs'!$D$2</x:f>
        <x:v>0.25510204081632654</x:v>
      </x:c>
      <x:c r="H7" s="12" t="n">
        <x:f>('Comprehensive Inputs'!$E$9-'Comprehensive Inputs'!$E$10)/'Comprehensive Inputs'!$E$2</x:f>
        <x:v>0.2761904761904762</x:v>
      </x:c>
      <x:c r="I7" s="18" t="str">
        <x:v>PASS</x:v>
      </x:c>
    </x:row>
    <x:row r="8">
      <x:c r="A8" s="9" t="n">
        <x:v>7</x:v>
      </x:c>
      <x:c r="B8" s="9" t="str">
        <x:v>gross-margin</x:v>
      </x:c>
      <x:c r="C8" s="9" t="str">
        <x:v>Gross Profit Margin</x:v>
      </x:c>
      <x:c r="D8" s="9" t="str">
        <x:v>Profitability</x:v>
      </x:c>
      <x:c r="E8" s="9" t="str"/>
      <x:c r="F8" s="12" t="n">
        <x:f>'Comprehensive Inputs'!$C$4/'Comprehensive Inputs'!$C$2</x:f>
        <x:v>0.4</x:v>
      </x:c>
      <x:c r="G8" s="12" t="n">
        <x:f>'Comprehensive Inputs'!$D$4/'Comprehensive Inputs'!$D$2</x:f>
        <x:v>0.4</x:v>
      </x:c>
      <x:c r="H8" s="12" t="n">
        <x:f>'Comprehensive Inputs'!$E$4/'Comprehensive Inputs'!$E$2</x:f>
        <x:v>0.42</x:v>
      </x:c>
      <x:c r="I8" s="18" t="str">
        <x:v>PASS</x:v>
      </x:c>
    </x:row>
    <x:row r="9">
      <x:c r="A9" s="9" t="n">
        <x:v>8</x:v>
      </x:c>
      <x:c r="B9" s="9" t="str">
        <x:v>operating-margin</x:v>
      </x:c>
      <x:c r="C9" s="9" t="str">
        <x:v>Operating Profit Margin</x:v>
      </x:c>
      <x:c r="D9" s="9" t="str">
        <x:v>Profitability</x:v>
      </x:c>
      <x:c r="E9" s="9" t="str"/>
      <x:c r="F9" s="12" t="n">
        <x:f>'Comprehensive Inputs'!$C$5/'Comprehensive Inputs'!$C$2</x:f>
        <x:v>0.13333333333333333</x:v>
      </x:c>
      <x:c r="G9" s="12" t="n">
        <x:f>'Comprehensive Inputs'!$D$5/'Comprehensive Inputs'!$D$2</x:f>
        <x:v>0.14795918367346939</x:v>
      </x:c>
      <x:c r="H9" s="12" t="n">
        <x:f>'Comprehensive Inputs'!$E$5/'Comprehensive Inputs'!$E$2</x:f>
        <x:v>0.1619047619047619</x:v>
      </x:c>
      <x:c r="I9" s="18" t="str">
        <x:v>PASS</x:v>
      </x:c>
    </x:row>
    <x:row r="10">
      <x:c r="A10" s="9" t="n">
        <x:v>9</x:v>
      </x:c>
      <x:c r="B10" s="9" t="str">
        <x:v>net-margin</x:v>
      </x:c>
      <x:c r="C10" s="9" t="str">
        <x:v>Net Profit Margin</x:v>
      </x:c>
      <x:c r="D10" s="9" t="str">
        <x:v>Profitability</x:v>
      </x:c>
      <x:c r="E10" s="9" t="str"/>
      <x:c r="F10" s="12" t="n">
        <x:f>'Comprehensive Inputs'!$C$6/'Comprehensive Inputs'!$C$2</x:f>
        <x:v>0.09444444444444444</x:v>
      </x:c>
      <x:c r="G10" s="12" t="n">
        <x:f>'Comprehensive Inputs'!$D$6/'Comprehensive Inputs'!$D$2</x:f>
        <x:v>0.10714285714285714</x:v>
      </x:c>
      <x:c r="H10" s="12" t="n">
        <x:f>'Comprehensive Inputs'!$E$6/'Comprehensive Inputs'!$E$2</x:f>
        <x:v>0.11904761904761904</x:v>
      </x:c>
      <x:c r="I10" s="18" t="str">
        <x:v>PASS</x:v>
      </x:c>
    </x:row>
    <x:row r="11">
      <x:c r="A11" s="9" t="n">
        <x:v>10</x:v>
      </x:c>
      <x:c r="B11" s="9" t="str">
        <x:v>ebitda-margin</x:v>
      </x:c>
      <x:c r="C11" s="9" t="str">
        <x:v>EBITDA Margin</x:v>
      </x:c>
      <x:c r="D11" s="9" t="str">
        <x:v>Profitability</x:v>
      </x:c>
      <x:c r="E11" s="9" t="str"/>
      <x:c r="F11" s="12" t="n">
        <x:f>'Comprehensive Inputs'!$C$7/'Comprehensive Inputs'!$C$2</x:f>
        <x:v>0.2</x:v>
      </x:c>
      <x:c r="G11" s="12" t="n">
        <x:f>'Comprehensive Inputs'!$D$7/'Comprehensive Inputs'!$D$2</x:f>
        <x:v>0.21428571428571427</x:v>
      </x:c>
      <x:c r="H11" s="12" t="n">
        <x:f>'Comprehensive Inputs'!$E$7/'Comprehensive Inputs'!$E$2</x:f>
        <x:v>0.22857142857142856</x:v>
      </x:c>
      <x:c r="I11" s="18" t="str">
        <x:v>PASS</x:v>
      </x:c>
    </x:row>
    <x:row r="12">
      <x:c r="A12" s="9" t="n">
        <x:v>11</x:v>
      </x:c>
      <x:c r="B12" s="9" t="str">
        <x:v>roa</x:v>
      </x:c>
      <x:c r="C12" s="9" t="str">
        <x:v>Return on Assets (ROA)</x:v>
      </x:c>
      <x:c r="D12" s="9" t="str">
        <x:v>Profitability</x:v>
      </x:c>
      <x:c r="E12" s="9" t="str"/>
      <x:c r="F12" s="12" t="n">
        <x:f>'Comprehensive Inputs'!$C$6/'Comprehensive Inputs'!$C$35</x:f>
        <x:v>0.05782312925170068</x:v>
      </x:c>
      <x:c r="G12" s="12" t="n">
        <x:f>'Comprehensive Inputs'!$D$6/'Comprehensive Inputs'!$D$35</x:f>
        <x:v>0.06666666666666667</x:v>
      </x:c>
      <x:c r="H12" s="12" t="n">
        <x:f>'Comprehensive Inputs'!$E$6/'Comprehensive Inputs'!$E$35</x:f>
        <x:v>0.07204610951008646</x:v>
      </x:c>
      <x:c r="I12" s="18" t="str">
        <x:v>PASS</x:v>
      </x:c>
    </x:row>
    <x:row r="13">
      <x:c r="A13" s="9" t="n">
        <x:v>12</x:v>
      </x:c>
      <x:c r="B13" s="9" t="str">
        <x:v>roe</x:v>
      </x:c>
      <x:c r="C13" s="9" t="str">
        <x:v>Return on Equity (ROE)</x:v>
      </x:c>
      <x:c r="D13" s="9" t="str">
        <x:v>Profitability</x:v>
      </x:c>
      <x:c r="E13" s="9" t="str"/>
      <x:c r="F13" s="12" t="n">
        <x:f>'Comprehensive Inputs'!$C$6/'Comprehensive Inputs'!$C$36</x:f>
        <x:v>0.10897435897435898</x:v>
      </x:c>
      <x:c r="G13" s="12" t="n">
        <x:f>'Comprehensive Inputs'!$D$6/'Comprehensive Inputs'!$D$36</x:f>
        <x:v>0.1242603550295858</x:v>
      </x:c>
      <x:c r="H13" s="12" t="n">
        <x:f>'Comprehensive Inputs'!$E$6/'Comprehensive Inputs'!$E$36</x:f>
        <x:v>0.13157894736842105</x:v>
      </x:c>
      <x:c r="I13" s="18" t="str">
        <x:v>PASS</x:v>
      </x:c>
    </x:row>
    <x:row r="14">
      <x:c r="A14" s="9" t="n">
        <x:v>13</x:v>
      </x:c>
      <x:c r="B14" s="9" t="str">
        <x:v>roic</x:v>
      </x:c>
      <x:c r="C14" s="9" t="str">
        <x:v>Return on Invested Capital (ROIC)</x:v>
      </x:c>
      <x:c r="D14" s="9" t="str">
        <x:v>Profitability</x:v>
      </x:c>
      <x:c r="E14" s="9" t="str"/>
      <x:c r="F14" s="12" t="n">
        <x:f>'Comprehensive Inputs'!$C$31/'Comprehensive Inputs'!$C$32</x:f>
        <x:v>0.08571428571428572</x:v>
      </x:c>
      <x:c r="G14" s="12" t="n">
        <x:f>'Comprehensive Inputs'!$D$31/'Comprehensive Inputs'!$D$32</x:f>
        <x:v>0.09294871794871795</x:v>
      </x:c>
      <x:c r="H14" s="12" t="n">
        <x:f>'Comprehensive Inputs'!$E$31/'Comprehensive Inputs'!$E$32</x:f>
        <x:v>0.09732824427480916</x:v>
      </x:c>
      <x:c r="I14" s="18" t="str">
        <x:v>PASS</x:v>
      </x:c>
    </x:row>
    <x:row r="15">
      <x:c r="A15" s="9" t="n">
        <x:v>14</x:v>
      </x:c>
      <x:c r="B15" s="9" t="str">
        <x:v>roce</x:v>
      </x:c>
      <x:c r="C15" s="9" t="str">
        <x:v>Return on Capital Employed (ROCE)</x:v>
      </x:c>
      <x:c r="D15" s="9" t="str">
        <x:v>Profitability</x:v>
      </x:c>
      <x:c r="E15" s="9" t="str"/>
      <x:c r="F15" s="12" t="n">
        <x:f>'Comprehensive Inputs'!$C$5/'Comprehensive Inputs'!$C$33</x:f>
        <x:v>0.12</x:v>
      </x:c>
      <x:c r="G15" s="12" t="n">
        <x:f>'Comprehensive Inputs'!$D$5/'Comprehensive Inputs'!$D$33</x:f>
        <x:v>0.1318181818181818</x:v>
      </x:c>
      <x:c r="H15" s="12" t="n">
        <x:f>'Comprehensive Inputs'!$E$5/'Comprehensive Inputs'!$E$33</x:f>
        <x:v>0.136</x:v>
      </x:c>
      <x:c r="I15" s="18" t="str">
        <x:v>PASS</x:v>
      </x:c>
    </x:row>
    <x:row r="16">
      <x:c r="A16" s="9" t="n">
        <x:v>15</x:v>
      </x:c>
      <x:c r="B16" s="9" t="str">
        <x:v>ros</x:v>
      </x:c>
      <x:c r="C16" s="9" t="str">
        <x:v>Return on Sales (ROS)</x:v>
      </x:c>
      <x:c r="D16" s="9" t="str">
        <x:v>Profitability</x:v>
      </x:c>
      <x:c r="E16" s="9" t="str"/>
      <x:c r="F16" s="12" t="n">
        <x:f>'Comprehensive Inputs'!$C$5/'Comprehensive Inputs'!$C$2</x:f>
        <x:v>0.13333333333333333</x:v>
      </x:c>
      <x:c r="G16" s="12" t="n">
        <x:f>'Comprehensive Inputs'!$D$5/'Comprehensive Inputs'!$D$2</x:f>
        <x:v>0.14795918367346939</x:v>
      </x:c>
      <x:c r="H16" s="12" t="n">
        <x:f>'Comprehensive Inputs'!$E$5/'Comprehensive Inputs'!$E$2</x:f>
        <x:v>0.1619047619047619</x:v>
      </x:c>
      <x:c r="I16" s="18" t="str">
        <x:v>PASS</x:v>
      </x:c>
    </x:row>
    <x:row r="17">
      <x:c r="A17" s="9" t="n">
        <x:v>16</x:v>
      </x:c>
      <x:c r="B17" s="9" t="str">
        <x:v>contribution-margin</x:v>
      </x:c>
      <x:c r="C17" s="9" t="str">
        <x:v>Contribution Margin</x:v>
      </x:c>
      <x:c r="D17" s="9" t="str">
        <x:v>Profitability</x:v>
      </x:c>
      <x:c r="E17" s="9" t="str"/>
      <x:c r="F17" s="12" t="n">
        <x:f>('Comprehensive Inputs'!$C$84-'Comprehensive Inputs'!$C$85)/'Comprehensive Inputs'!$C$84</x:f>
        <x:v>0.4230769230769231</x:v>
      </x:c>
      <x:c r="G17" s="12" t="n">
        <x:f>('Comprehensive Inputs'!$D$84-'Comprehensive Inputs'!$D$85)/'Comprehensive Inputs'!$D$84</x:f>
        <x:v>0.4375</x:v>
      </x:c>
      <x:c r="H17" s="12" t="n">
        <x:f>('Comprehensive Inputs'!$E$84-'Comprehensive Inputs'!$E$85)/'Comprehensive Inputs'!$E$84</x:f>
        <x:v>0.45</x:v>
      </x:c>
      <x:c r="I17" s="18" t="str">
        <x:v>PASS</x:v>
      </x:c>
    </x:row>
    <x:row r="18">
      <x:c r="A18" s="9" t="n">
        <x:v>17</x:v>
      </x:c>
      <x:c r="B18" s="9" t="str">
        <x:v>asset-turnover</x:v>
      </x:c>
      <x:c r="C18" s="9" t="str">
        <x:v>Asset Turnover Ratio</x:v>
      </x:c>
      <x:c r="D18" s="9" t="str">
        <x:v>Efficiency / Activity</x:v>
      </x:c>
      <x:c r="E18" s="9" t="str"/>
      <x:c r="F18" s="12" t="n">
        <x:f>'Comprehensive Inputs'!$C$2/'Comprehensive Inputs'!$C$35</x:f>
        <x:v>0.6122448979591837</x:v>
      </x:c>
      <x:c r="G18" s="12" t="n">
        <x:f>'Comprehensive Inputs'!$D$2/'Comprehensive Inputs'!$D$35</x:f>
        <x:v>0.6222222222222222</x:v>
      </x:c>
      <x:c r="H18" s="12" t="n">
        <x:f>'Comprehensive Inputs'!$E$2/'Comprehensive Inputs'!$E$35</x:f>
        <x:v>0.6051873198847262</x:v>
      </x:c>
      <x:c r="I18" s="18" t="str">
        <x:v>PASS</x:v>
      </x:c>
    </x:row>
    <x:row r="19">
      <x:c r="A19" s="9" t="n">
        <x:v>18</x:v>
      </x:c>
      <x:c r="B19" s="9" t="str">
        <x:v>fixed-asset-turnover</x:v>
      </x:c>
      <x:c r="C19" s="9" t="str">
        <x:v>Fixed Asset Turnover</x:v>
      </x:c>
      <x:c r="D19" s="9" t="str">
        <x:v>Efficiency / Activity</x:v>
      </x:c>
      <x:c r="E19" s="9" t="str"/>
      <x:c r="F19" s="12" t="n">
        <x:f>'Comprehensive Inputs'!$C$2/'Comprehensive Inputs'!$C$34</x:f>
        <x:v>1</x:v>
      </x:c>
      <x:c r="G19" s="12" t="n">
        <x:f>'Comprehensive Inputs'!$D$2/'Comprehensive Inputs'!$D$34</x:f>
        <x:v>1.0103092783505154</x:v>
      </x:c>
      <x:c r="H19" s="12" t="n">
        <x:f>'Comprehensive Inputs'!$E$2/'Comprehensive Inputs'!$E$34</x:f>
        <x:v>0.9905660377358491</x:v>
      </x:c>
      <x:c r="I19" s="18" t="str">
        <x:v>PASS</x:v>
      </x:c>
    </x:row>
    <x:row r="20">
      <x:c r="A20" s="9" t="n">
        <x:v>19</x:v>
      </x:c>
      <x:c r="B20" s="9" t="str">
        <x:v>inventory-turnover</x:v>
      </x:c>
      <x:c r="C20" s="9" t="str">
        <x:v>Inventory Turnover</x:v>
      </x:c>
      <x:c r="D20" s="9" t="str">
        <x:v>Efficiency / Activity</x:v>
      </x:c>
      <x:c r="E20" s="9" t="str"/>
      <x:c r="F20" s="12" t="n">
        <x:f>'Comprehensive Inputs'!$C$3/'Comprehensive Inputs'!$C$37</x:f>
        <x:v>3.4838709677419355</x:v>
      </x:c>
      <x:c r="G20" s="12" t="n">
        <x:f>'Comprehensive Inputs'!$D$3/'Comprehensive Inputs'!$D$37</x:f>
        <x:v>3.5104477611940297</x:v>
      </x:c>
      <x:c r="H20" s="12" t="n">
        <x:f>'Comprehensive Inputs'!$E$3/'Comprehensive Inputs'!$E$37</x:f>
        <x:v>3.336986301369863</x:v>
      </x:c>
      <x:c r="I20" s="18" t="str">
        <x:v>PASS</x:v>
      </x:c>
    </x:row>
    <x:row r="21">
      <x:c r="A21" s="9" t="n">
        <x:v>20</x:v>
      </x:c>
      <x:c r="B21" s="9" t="str">
        <x:v>dio</x:v>
      </x:c>
      <x:c r="C21" s="9" t="str">
        <x:v>Days Inventory Outstanding (DIO)</x:v>
      </x:c>
      <x:c r="D21" s="9" t="str">
        <x:v>Efficiency / Activity</x:v>
      </x:c>
      <x:c r="E21" s="9" t="str"/>
      <x:c r="F21" s="12" t="n">
        <x:f>'Comprehensive Inputs'!$C$37/'Comprehensive Inputs'!$C$3*365</x:f>
        <x:v>104.76851851851852</x:v>
      </x:c>
      <x:c r="G21" s="12" t="n">
        <x:f>'Comprehensive Inputs'!$D$37/'Comprehensive Inputs'!$D$3*365</x:f>
        <x:v>103.97534013605443</x:v>
      </x:c>
      <x:c r="H21" s="12" t="n">
        <x:f>'Comprehensive Inputs'!$E$37/'Comprehensive Inputs'!$E$3*365</x:f>
        <x:v>109.38013136289</x:v>
      </x:c>
      <x:c r="I21" s="18" t="str">
        <x:v>PASS</x:v>
      </x:c>
    </x:row>
    <x:row r="22">
      <x:c r="A22" s="9" t="n">
        <x:v>21</x:v>
      </x:c>
      <x:c r="B22" s="9" t="str">
        <x:v>receivables-turnover</x:v>
      </x:c>
      <x:c r="C22" s="9" t="str">
        <x:v>Receivables Turnover</x:v>
      </x:c>
      <x:c r="D22" s="9" t="str">
        <x:v>Efficiency / Activity</x:v>
      </x:c>
      <x:c r="E22" s="9" t="str"/>
      <x:c r="F22" s="12" t="n">
        <x:f>'Comprehensive Inputs'!$C$2/'Comprehensive Inputs'!$C$38</x:f>
        <x:v>6.666666666666667</x:v>
      </x:c>
      <x:c r="G22" s="12" t="n">
        <x:f>'Comprehensive Inputs'!$D$2/'Comprehensive Inputs'!$D$38</x:f>
        <x:v>6.6440677966101696</x:v>
      </x:c>
      <x:c r="H22" s="12" t="n">
        <x:f>'Comprehensive Inputs'!$E$2/'Comprehensive Inputs'!$E$38</x:f>
        <x:v>6.461538461538462</x:v>
      </x:c>
      <x:c r="I22" s="18" t="str">
        <x:v>PASS</x:v>
      </x:c>
    </x:row>
    <x:row r="23">
      <x:c r="A23" s="9" t="n">
        <x:v>22</x:v>
      </x:c>
      <x:c r="B23" s="9" t="str">
        <x:v>dso</x:v>
      </x:c>
      <x:c r="C23" s="9" t="str">
        <x:v>Days Sales Outstanding (DSO)</x:v>
      </x:c>
      <x:c r="D23" s="9" t="str">
        <x:v>Efficiency / Activity</x:v>
      </x:c>
      <x:c r="E23" s="9" t="str"/>
      <x:c r="F23" s="12" t="n">
        <x:f>'Comprehensive Inputs'!$C$38/'Comprehensive Inputs'!$C$40*365</x:f>
        <x:v>57.29651162790698</x:v>
      </x:c>
      <x:c r="G23" s="12" t="n">
        <x:f>'Comprehensive Inputs'!$D$38/'Comprehensive Inputs'!$D$40*365</x:f>
        <x:v>57.273936170212764</x:v>
      </x:c>
      <x:c r="H23" s="12" t="n">
        <x:f>'Comprehensive Inputs'!$E$38/'Comprehensive Inputs'!$E$40*365</x:f>
        <x:v>58.725247524752476</x:v>
      </x:c>
      <x:c r="I23" s="18" t="str">
        <x:v>PASS</x:v>
      </x:c>
    </x:row>
    <x:row r="24">
      <x:c r="A24" s="9" t="n">
        <x:v>23</x:v>
      </x:c>
      <x:c r="B24" s="9" t="str">
        <x:v>payables-turnover</x:v>
      </x:c>
      <x:c r="C24" s="9" t="str">
        <x:v>Payables Turnover</x:v>
      </x:c>
      <x:c r="D24" s="9" t="str">
        <x:v>Efficiency / Activity</x:v>
      </x:c>
      <x:c r="E24" s="9" t="str"/>
      <x:c r="F24" s="12" t="n">
        <x:f>'Comprehensive Inputs'!$C$3/'Comprehensive Inputs'!$C$39</x:f>
        <x:v>4.695652173913044</x:v>
      </x:c>
      <x:c r="G24" s="12" t="n">
        <x:f>'Comprehensive Inputs'!$D$3/'Comprehensive Inputs'!$D$39</x:f>
        <x:v>4.704</x:v>
      </x:c>
      <x:c r="H24" s="12" t="n">
        <x:f>'Comprehensive Inputs'!$E$3/'Comprehensive Inputs'!$E$39</x:f>
        <x:v>4.477941176470588</x:v>
      </x:c>
      <x:c r="I24" s="18" t="str">
        <x:v>PASS</x:v>
      </x:c>
    </x:row>
    <x:row r="25">
      <x:c r="A25" s="9" t="n">
        <x:v>24</x:v>
      </x:c>
      <x:c r="B25" s="9" t="str">
        <x:v>dpo</x:v>
      </x:c>
      <x:c r="C25" s="9" t="str">
        <x:v>Days Payable Outstanding (DPO)</x:v>
      </x:c>
      <x:c r="D25" s="9" t="str">
        <x:v>Efficiency / Activity</x:v>
      </x:c>
      <x:c r="E25" s="9" t="str"/>
      <x:c r="F25" s="12" t="n">
        <x:f>'Comprehensive Inputs'!$C$39/'Comprehensive Inputs'!$C$3*365</x:f>
        <x:v>77.73148148148148</x:v>
      </x:c>
      <x:c r="G25" s="12" t="n">
        <x:f>'Comprehensive Inputs'!$D$39/'Comprehensive Inputs'!$D$3*365</x:f>
        <x:v>77.59353741496598</x:v>
      </x:c>
      <x:c r="H25" s="12" t="n">
        <x:f>'Comprehensive Inputs'!$E$39/'Comprehensive Inputs'!$E$3*365</x:f>
        <x:v>81.51067323481116</x:v>
      </x:c>
      <x:c r="I25" s="18" t="str">
        <x:v>PASS</x:v>
      </x:c>
    </x:row>
    <x:row r="26">
      <x:c r="A26" s="9" t="n">
        <x:v>25</x:v>
      </x:c>
      <x:c r="B26" s="9" t="str">
        <x:v>ccc</x:v>
      </x:c>
      <x:c r="C26" s="9" t="str">
        <x:v>Cash Conversion Cycle (CCC)</x:v>
      </x:c>
      <x:c r="D26" s="9" t="str">
        <x:v>Efficiency / Activity</x:v>
      </x:c>
      <x:c r="E26" s="9" t="str"/>
      <x:c r="F26" s="12" t="n">
        <x:f>('Comprehensive Inputs'!$C$37/'Comprehensive Inputs'!$C$3*365)+('Comprehensive Inputs'!$C$38/'Comprehensive Inputs'!$C$40*365)-('Comprehensive Inputs'!$C$39/'Comprehensive Inputs'!$C$3*365)</x:f>
        <x:v>84.33354866494402</x:v>
      </x:c>
      <x:c r="G26" s="12" t="n">
        <x:f>('Comprehensive Inputs'!$D$37/'Comprehensive Inputs'!$D$3*365)+('Comprehensive Inputs'!$D$38/'Comprehensive Inputs'!$D$40*365)-('Comprehensive Inputs'!$D$39/'Comprehensive Inputs'!$D$3*365)</x:f>
        <x:v>83.6557388913012</x:v>
      </x:c>
      <x:c r="H26" s="12" t="n">
        <x:f>('Comprehensive Inputs'!$E$37/'Comprehensive Inputs'!$E$3*365)+('Comprehensive Inputs'!$E$38/'Comprehensive Inputs'!$E$40*365)-('Comprehensive Inputs'!$E$39/'Comprehensive Inputs'!$E$3*365)</x:f>
        <x:v>86.59470565283131</x:v>
      </x:c>
      <x:c r="I26" s="18" t="str">
        <x:v>PASS</x:v>
      </x:c>
    </x:row>
    <x:row r="27">
      <x:c r="A27" s="9" t="n">
        <x:v>26</x:v>
      </x:c>
      <x:c r="B27" s="9" t="str">
        <x:v>debt-ratio</x:v>
      </x:c>
      <x:c r="C27" s="9" t="str">
        <x:v>Debt Ratio (Total Liabilities to Total Assets)</x:v>
      </x:c>
      <x:c r="D27" s="9" t="str">
        <x:v>Leverage / Solvency</x:v>
      </x:c>
      <x:c r="E27" s="9" t="str"/>
      <x:c r="F27" s="12" t="n">
        <x:f>'Comprehensive Inputs'!$C$12/'Comprehensive Inputs'!$C$11</x:f>
        <x:v>0.4666666666666667</x:v>
      </x:c>
      <x:c r="G27" s="12" t="n">
        <x:f>'Comprehensive Inputs'!$D$12/'Comprehensive Inputs'!$D$11</x:f>
        <x:v>0.46060606060606063</x:v>
      </x:c>
      <x:c r="H27" s="12" t="n">
        <x:f>'Comprehensive Inputs'!$E$12/'Comprehensive Inputs'!$E$11</x:f>
        <x:v>0.44505494505494503</x:v>
      </x:c>
      <x:c r="I27" s="18" t="str">
        <x:v>PASS</x:v>
      </x:c>
    </x:row>
    <x:row r="28">
      <x:c r="A28" s="9" t="n">
        <x:v>27</x:v>
      </x:c>
      <x:c r="B28" s="9" t="str">
        <x:v>debt-to-equity</x:v>
      </x:c>
      <x:c r="C28" s="9" t="str">
        <x:v>Debt-to-Equity</x:v>
      </x:c>
      <x:c r="D28" s="9" t="str">
        <x:v>Leverage / Solvency</x:v>
      </x:c>
      <x:c r="E28" s="9" t="str"/>
      <x:c r="F28" s="12" t="n">
        <x:f>'Comprehensive Inputs'!$C$13/'Comprehensive Inputs'!$C$21</x:f>
        <x:v>0.5625</x:v>
      </x:c>
      <x:c r="G28" s="12" t="n">
        <x:f>'Comprehensive Inputs'!$D$13/'Comprehensive Inputs'!$D$21</x:f>
        <x:v>0.5393258426966292</x:v>
      </x:c>
      <x:c r="H28" s="12" t="n">
        <x:f>'Comprehensive Inputs'!$E$13/'Comprehensive Inputs'!$E$21</x:f>
        <x:v>0.49504950495049505</x:v>
      </x:c>
      <x:c r="I28" s="18" t="str">
        <x:v>PASS</x:v>
      </x:c>
    </x:row>
    <x:row r="29">
      <x:c r="A29" s="9" t="n">
        <x:v>28</x:v>
      </x:c>
      <x:c r="B29" s="9" t="str">
        <x:v>debt-to-assets</x:v>
      </x:c>
      <x:c r="C29" s="9" t="str">
        <x:v>Debt-to-Assets</x:v>
      </x:c>
      <x:c r="D29" s="9" t="str">
        <x:v>Leverage / Solvency</x:v>
      </x:c>
      <x:c r="E29" s="9" t="str"/>
      <x:c r="F29" s="12" t="n">
        <x:f>'Comprehensive Inputs'!$C$13/'Comprehensive Inputs'!$C$11</x:f>
        <x:v>0.3</x:v>
      </x:c>
      <x:c r="G29" s="12" t="n">
        <x:f>'Comprehensive Inputs'!$D$13/'Comprehensive Inputs'!$D$11</x:f>
        <x:v>0.2909090909090909</x:v>
      </x:c>
      <x:c r="H29" s="12" t="n">
        <x:f>'Comprehensive Inputs'!$E$13/'Comprehensive Inputs'!$E$11</x:f>
        <x:v>0.27472527472527475</x:v>
      </x:c>
      <x:c r="I29" s="18" t="str">
        <x:v>PASS</x:v>
      </x:c>
    </x:row>
    <x:row r="30">
      <x:c r="A30" s="9" t="n">
        <x:v>29</x:v>
      </x:c>
      <x:c r="B30" s="9" t="str">
        <x:v>debt-to-ebitda</x:v>
      </x:c>
      <x:c r="C30" s="9" t="str">
        <x:v>Debt-to-EBITDA</x:v>
      </x:c>
      <x:c r="D30" s="9" t="str">
        <x:v>Leverage / Solvency</x:v>
      </x:c>
      <x:c r="E30" s="9" t="str"/>
      <x:c r="F30" s="12" t="n">
        <x:f>'Comprehensive Inputs'!$C$13/'Comprehensive Inputs'!$C$7</x:f>
        <x:v>2.5</x:v>
      </x:c>
      <x:c r="G30" s="12" t="n">
        <x:f>'Comprehensive Inputs'!$D$13/'Comprehensive Inputs'!$D$7</x:f>
        <x:v>2.2857142857142856</x:v>
      </x:c>
      <x:c r="H30" s="12" t="n">
        <x:f>'Comprehensive Inputs'!$E$13/'Comprehensive Inputs'!$E$7</x:f>
        <x:v>2.0833333333333335</x:v>
      </x:c>
      <x:c r="I30" s="18" t="str">
        <x:v>PASS</x:v>
      </x:c>
    </x:row>
    <x:row r="31">
      <x:c r="A31" s="9" t="n">
        <x:v>30</x:v>
      </x:c>
      <x:c r="B31" s="9" t="str">
        <x:v>net-debt-to-ebitda</x:v>
      </x:c>
      <x:c r="C31" s="9" t="str">
        <x:v>Net Debt-to-EBITDA</x:v>
      </x:c>
      <x:c r="D31" s="9" t="str">
        <x:v>Leverage / Solvency</x:v>
      </x:c>
      <x:c r="E31" s="9" t="str"/>
      <x:c r="F31" s="12" t="n">
        <x:f>('Comprehensive Inputs'!$C$13-'Comprehensive Inputs'!$C$8)/'Comprehensive Inputs'!$C$7</x:f>
        <x:v>1.5</x:v>
      </x:c>
      <x:c r="G31" s="12" t="n">
        <x:f>('Comprehensive Inputs'!$D$13-'Comprehensive Inputs'!$D$8)/'Comprehensive Inputs'!$D$7</x:f>
        <x:v>1.2380952380952381</x:v>
      </x:c>
      <x:c r="H31" s="12" t="n">
        <x:f>('Comprehensive Inputs'!$E$13-'Comprehensive Inputs'!$E$8)/'Comprehensive Inputs'!$E$7</x:f>
        <x:v>1</x:v>
      </x:c>
      <x:c r="I31" s="18" t="str">
        <x:v>PASS</x:v>
      </x:c>
    </x:row>
    <x:row r="32">
      <x:c r="A32" s="9" t="n">
        <x:v>31</x:v>
      </x:c>
      <x:c r="B32" s="9" t="str">
        <x:v>interest-coverage</x:v>
      </x:c>
      <x:c r="C32" s="9" t="str">
        <x:v>Interest Coverage Ratio</x:v>
      </x:c>
      <x:c r="D32" s="9" t="str">
        <x:v>Leverage / Solvency</x:v>
      </x:c>
      <x:c r="E32" s="9" t="str"/>
      <x:c r="F32" s="12" t="n">
        <x:f>'Comprehensive Inputs'!$C$5/'Comprehensive Inputs'!$C$20</x:f>
        <x:v>5.454545454545454</x:v>
      </x:c>
      <x:c r="G32" s="12" t="n">
        <x:f>'Comprehensive Inputs'!$D$5/'Comprehensive Inputs'!$D$20</x:f>
        <x:v>6.904761904761905</x:v>
      </x:c>
      <x:c r="H32" s="12" t="n">
        <x:f>'Comprehensive Inputs'!$E$5/'Comprehensive Inputs'!$E$20</x:f>
        <x:v>8.5</x:v>
      </x:c>
      <x:c r="I32" s="18" t="str">
        <x:v>PASS</x:v>
      </x:c>
    </x:row>
    <x:row r="33">
      <x:c r="A33" s="9" t="n">
        <x:v>32</x:v>
      </x:c>
      <x:c r="B33" s="9" t="str">
        <x:v>dscr</x:v>
      </x:c>
      <x:c r="C33" s="9" t="str">
        <x:v>Debt Service Coverage Ratio (DSCR)</x:v>
      </x:c>
      <x:c r="D33" s="9" t="str">
        <x:v>Leverage / Solvency</x:v>
      </x:c>
      <x:c r="E33" s="9" t="str"/>
      <x:c r="F33" s="12" t="n">
        <x:f>'Comprehensive Inputs'!$C$42/'Comprehensive Inputs'!$C$41</x:f>
        <x:v>1.875</x:v>
      </x:c>
      <x:c r="G33" s="12" t="n">
        <x:f>'Comprehensive Inputs'!$D$42/'Comprehensive Inputs'!$D$41</x:f>
        <x:v>2.2435897435897436</x:v>
      </x:c>
      <x:c r="H33" s="12" t="n">
        <x:f>'Comprehensive Inputs'!$E$42/'Comprehensive Inputs'!$E$41</x:f>
        <x:v>2.6315789473684212</x:v>
      </x:c>
      <x:c r="I33" s="18" t="str">
        <x:v>PASS</x:v>
      </x:c>
    </x:row>
    <x:row r="34">
      <x:c r="A34" s="9" t="n">
        <x:v>33</x:v>
      </x:c>
      <x:c r="B34" s="9" t="str">
        <x:v>equity-multiplier</x:v>
      </x:c>
      <x:c r="C34" s="9" t="str">
        <x:v>Equity Multiplier</x:v>
      </x:c>
      <x:c r="D34" s="9" t="str">
        <x:v>Leverage / Solvency</x:v>
      </x:c>
      <x:c r="E34" s="9" t="str"/>
      <x:c r="F34" s="12" t="n">
        <x:f>'Comprehensive Inputs'!$C$11/'Comprehensive Inputs'!$C$21</x:f>
        <x:v>1.875</x:v>
      </x:c>
      <x:c r="G34" s="12" t="n">
        <x:f>'Comprehensive Inputs'!$D$11/'Comprehensive Inputs'!$D$21</x:f>
        <x:v>1.853932584269663</x:v>
      </x:c>
      <x:c r="H34" s="12" t="n">
        <x:f>'Comprehensive Inputs'!$E$11/'Comprehensive Inputs'!$E$21</x:f>
        <x:v>1.801980198019802</x:v>
      </x:c>
      <x:c r="I34" s="18" t="str">
        <x:v>PASS</x:v>
      </x:c>
    </x:row>
    <x:row r="35">
      <x:c r="A35" s="9" t="n">
        <x:v>34</x:v>
      </x:c>
      <x:c r="B35" s="9" t="str">
        <x:v>fixed-charge-coverage</x:v>
      </x:c>
      <x:c r="C35" s="9" t="str">
        <x:v>Fixed Charge Coverage Ratio</x:v>
      </x:c>
      <x:c r="D35" s="9" t="str">
        <x:v>Leverage / Solvency</x:v>
      </x:c>
      <x:c r="E35" s="9" t="str"/>
      <x:c r="F35" s="12" t="n">
        <x:f>('Comprehensive Inputs'!$C$5+'Comprehensive Inputs'!$C$43)/('Comprehensive Inputs'!$C$20+'Comprehensive Inputs'!$C$43)</x:f>
        <x:v>3.45</x:v>
      </x:c>
      <x:c r="G35" s="12" t="n">
        <x:f>('Comprehensive Inputs'!$D$5+'Comprehensive Inputs'!$D$43)/('Comprehensive Inputs'!$D$20+'Comprehensive Inputs'!$D$43)</x:f>
        <x:v>4.17948717948718</x:v>
      </x:c>
      <x:c r="H35" s="12" t="n">
        <x:f>('Comprehensive Inputs'!$E$5+'Comprehensive Inputs'!$E$43)/('Comprehensive Inputs'!$E$20+'Comprehensive Inputs'!$E$43)</x:f>
        <x:v>4.947368421052632</x:v>
      </x:c>
      <x:c r="I35" s="18" t="str">
        <x:v>PASS</x:v>
      </x:c>
    </x:row>
    <x:row r="36">
      <x:c r="A36" s="9" t="n">
        <x:v>35</x:v>
      </x:c>
      <x:c r="B36" s="9" t="str">
        <x:v>pe</x:v>
      </x:c>
      <x:c r="C36" s="9" t="str">
        <x:v>Price-to-Earnings (P/E)</x:v>
      </x:c>
      <x:c r="D36" s="9" t="str">
        <x:v>Valuation</x:v>
      </x:c>
      <x:c r="E36" s="9" t="str"/>
      <x:c r="F36" s="12" t="n">
        <x:f>'Comprehensive Inputs'!$C$22/'Comprehensive Inputs'!$C$23</x:f>
        <x:v>28.235294117647058</x:v>
      </x:c>
      <x:c r="G36" s="12" t="n">
        <x:f>'Comprehensive Inputs'!$D$22/'Comprehensive Inputs'!$D$23</x:f>
        <x:v>25.714285714285715</x:v>
      </x:c>
      <x:c r="H36" s="12" t="n">
        <x:f>'Comprehensive Inputs'!$E$22/'Comprehensive Inputs'!$E$23</x:f>
        <x:v>24</x:v>
      </x:c>
      <x:c r="I36" s="18" t="str">
        <x:v>PASS</x:v>
      </x:c>
    </x:row>
    <x:row r="37">
      <x:c r="A37" s="9" t="n">
        <x:v>36</x:v>
      </x:c>
      <x:c r="B37" s="9" t="str">
        <x:v>pb</x:v>
      </x:c>
      <x:c r="C37" s="9" t="str">
        <x:v>Price-to-Book (P/B)</x:v>
      </x:c>
      <x:c r="D37" s="9" t="str">
        <x:v>Valuation</x:v>
      </x:c>
      <x:c r="E37" s="9" t="str"/>
      <x:c r="F37" s="12" t="n">
        <x:f>'Comprehensive Inputs'!$C$22/'Comprehensive Inputs'!$C$24</x:f>
        <x:v>3</x:v>
      </x:c>
      <x:c r="G37" s="12" t="n">
        <x:f>'Comprehensive Inputs'!$D$22/'Comprehensive Inputs'!$D$24</x:f>
        <x:v>3.033707865168539</x:v>
      </x:c>
      <x:c r="H37" s="12" t="n">
        <x:f>'Comprehensive Inputs'!$E$22/'Comprehensive Inputs'!$E$24</x:f>
        <x:v>2.9702970297029703</x:v>
      </x:c>
      <x:c r="I37" s="18" t="str">
        <x:v>PASS</x:v>
      </x:c>
    </x:row>
    <x:row r="38">
      <x:c r="A38" s="9" t="n">
        <x:v>37</x:v>
      </x:c>
      <x:c r="B38" s="9" t="str">
        <x:v>ps</x:v>
      </x:c>
      <x:c r="C38" s="9" t="str">
        <x:v>Price-to-Sales (P/S)</x:v>
      </x:c>
      <x:c r="D38" s="9" t="str">
        <x:v>Valuation</x:v>
      </x:c>
      <x:c r="E38" s="9" t="str"/>
      <x:c r="F38" s="12" t="n">
        <x:f>'Comprehensive Inputs'!$C$25/'Comprehensive Inputs'!$C$2</x:f>
        <x:v>2.6666666666666665</x:v>
      </x:c>
      <x:c r="G38" s="12" t="n">
        <x:f>'Comprehensive Inputs'!$D$25/'Comprehensive Inputs'!$D$2</x:f>
        <x:v>2.7551020408163267</x:v>
      </x:c>
      <x:c r="H38" s="12" t="n">
        <x:f>'Comprehensive Inputs'!$E$25/'Comprehensive Inputs'!$E$2</x:f>
        <x:v>2.857142857142857</x:v>
      </x:c>
      <x:c r="I38" s="18" t="str">
        <x:v>PASS</x:v>
      </x:c>
    </x:row>
    <x:row r="39">
      <x:c r="A39" s="9" t="n">
        <x:v>38</x:v>
      </x:c>
      <x:c r="B39" s="9" t="str">
        <x:v>ev-ebitda</x:v>
      </x:c>
      <x:c r="C39" s="9" t="str">
        <x:v>EV/EBITDA</x:v>
      </x:c>
      <x:c r="D39" s="9" t="str">
        <x:v>Valuation</x:v>
      </x:c>
      <x:c r="E39" s="9" t="str"/>
      <x:c r="F39" s="12" t="n">
        <x:f>'Comprehensive Inputs'!$C$26/'Comprehensive Inputs'!$C$7</x:f>
        <x:v>14.833333333333334</x:v>
      </x:c>
      <x:c r="G39" s="12" t="n">
        <x:f>'Comprehensive Inputs'!$D$26/'Comprehensive Inputs'!$D$7</x:f>
        <x:v>14.095238095238095</x:v>
      </x:c>
      <x:c r="H39" s="12" t="n">
        <x:f>'Comprehensive Inputs'!$E$26/'Comprehensive Inputs'!$E$7</x:f>
        <x:v>13.5</x:v>
      </x:c>
      <x:c r="I39" s="18" t="str">
        <x:v>PASS</x:v>
      </x:c>
    </x:row>
    <x:row r="40">
      <x:c r="A40" s="9" t="n">
        <x:v>39</x:v>
      </x:c>
      <x:c r="B40" s="9" t="str">
        <x:v>ev-revenue</x:v>
      </x:c>
      <x:c r="C40" s="9" t="str">
        <x:v>EV/Revenue</x:v>
      </x:c>
      <x:c r="D40" s="9" t="str">
        <x:v>Valuation</x:v>
      </x:c>
      <x:c r="E40" s="9" t="str"/>
      <x:c r="F40" s="12" t="n">
        <x:f>'Comprehensive Inputs'!$C$26/'Comprehensive Inputs'!$C$2</x:f>
        <x:v>2.966666666666667</x:v>
      </x:c>
      <x:c r="G40" s="12" t="n">
        <x:f>'Comprehensive Inputs'!$D$26/'Comprehensive Inputs'!$D$2</x:f>
        <x:v>3.020408163265306</x:v>
      </x:c>
      <x:c r="H40" s="12" t="n">
        <x:f>'Comprehensive Inputs'!$E$26/'Comprehensive Inputs'!$E$2</x:f>
        <x:v>3.085714285714286</x:v>
      </x:c>
      <x:c r="I40" s="18" t="str">
        <x:v>PASS</x:v>
      </x:c>
    </x:row>
    <x:row r="41">
      <x:c r="A41" s="9" t="n">
        <x:v>40</x:v>
      </x:c>
      <x:c r="B41" s="9" t="str">
        <x:v>eps</x:v>
      </x:c>
      <x:c r="C41" s="9" t="str">
        <x:v>Earnings Per Share (EPS)</x:v>
      </x:c>
      <x:c r="D41" s="9" t="str">
        <x:v>Valuation</x:v>
      </x:c>
      <x:c r="E41" s="9" t="str"/>
      <x:c r="F41" s="12" t="n">
        <x:f>('Comprehensive Inputs'!$C$6-'Comprehensive Inputs'!$C$27)/'Comprehensive Inputs'!$C$28</x:f>
        <x:v>4.15</x:v>
      </x:c>
      <x:c r="G41" s="12" t="n">
        <x:f>('Comprehensive Inputs'!$D$6-'Comprehensive Inputs'!$D$27)/'Comprehensive Inputs'!$D$28</x:f>
        <x:v>5.15</x:v>
      </x:c>
      <x:c r="H41" s="12" t="n">
        <x:f>('Comprehensive Inputs'!$E$6-'Comprehensive Inputs'!$E$27)/'Comprehensive Inputs'!$E$28</x:f>
        <x:v>6.15</x:v>
      </x:c>
      <x:c r="I41" s="18" t="str">
        <x:v>PASS</x:v>
      </x:c>
    </x:row>
    <x:row r="42">
      <x:c r="A42" s="9" t="n">
        <x:v>41</x:v>
      </x:c>
      <x:c r="B42" s="9" t="str">
        <x:v>dividend-yield</x:v>
      </x:c>
      <x:c r="C42" s="9" t="str">
        <x:v>Dividend Yield</x:v>
      </x:c>
      <x:c r="D42" s="9" t="str">
        <x:v>Valuation</x:v>
      </x:c>
      <x:c r="E42" s="9" t="str"/>
      <x:c r="F42" s="12" t="n">
        <x:f>'Comprehensive Inputs'!$C$29/'Comprehensive Inputs'!$C$22</x:f>
        <x:v>0.007083333333333333</x:v>
      </x:c>
      <x:c r="G42" s="12" t="n">
        <x:f>'Comprehensive Inputs'!$D$29/'Comprehensive Inputs'!$D$22</x:f>
        <x:v>0.007777777777777778</x:v>
      </x:c>
      <x:c r="H42" s="12" t="n">
        <x:f>'Comprehensive Inputs'!$E$29/'Comprehensive Inputs'!$E$22</x:f>
        <x:v>0.008333333333333333</x:v>
      </x:c>
      <x:c r="I42" s="18" t="str">
        <x:v>PASS</x:v>
      </x:c>
    </x:row>
    <x:row r="43">
      <x:c r="A43" s="9" t="n">
        <x:v>42</x:v>
      </x:c>
      <x:c r="B43" s="9" t="str">
        <x:v>dividend-payout</x:v>
      </x:c>
      <x:c r="C43" s="9" t="str">
        <x:v>Dividend Payout Ratio</x:v>
      </x:c>
      <x:c r="D43" s="9" t="str">
        <x:v>Valuation</x:v>
      </x:c>
      <x:c r="E43" s="9" t="str"/>
      <x:c r="F43" s="12" t="n">
        <x:f>'Comprehensive Inputs'!$C$29/'Comprehensive Inputs'!$C$23</x:f>
        <x:v>0.19999999999999998</x:v>
      </x:c>
      <x:c r="G43" s="12" t="n">
        <x:f>'Comprehensive Inputs'!$D$29/'Comprehensive Inputs'!$D$23</x:f>
        <x:v>0.2</x:v>
      </x:c>
      <x:c r="H43" s="12" t="n">
        <x:f>'Comprehensive Inputs'!$E$29/'Comprehensive Inputs'!$E$23</x:f>
        <x:v>0.2</x:v>
      </x:c>
      <x:c r="I43" s="18" t="str">
        <x:v>PASS</x:v>
      </x:c>
    </x:row>
    <x:row r="44">
      <x:c r="A44" s="9" t="n">
        <x:v>43</x:v>
      </x:c>
      <x:c r="B44" s="9" t="str">
        <x:v>revenue-growth</x:v>
      </x:c>
      <x:c r="C44" s="9" t="str">
        <x:v>Revenue Growth Rate</x:v>
      </x:c>
      <x:c r="D44" s="9" t="str">
        <x:v>Growth &amp; Performance</x:v>
      </x:c>
      <x:c r="E44" s="9" t="str"/>
      <x:c r="F44" s="12" t="n">
        <x:f>('Comprehensive Inputs'!$C$2/'Comprehensive Inputs'!$C$75)-1</x:f>
        <x:v>0.05882352941176472</x:v>
      </x:c>
      <x:c r="G44" s="12" t="n">
        <x:f>('Comprehensive Inputs'!$D$2/'Comprehensive Inputs'!$D$75)-1</x:f>
        <x:v>0.0888888888888888</x:v>
      </x:c>
      <x:c r="H44" s="12" t="n">
        <x:f>('Comprehensive Inputs'!$E$2/'Comprehensive Inputs'!$E$75)-1</x:f>
        <x:v>0.0714285714285714</x:v>
      </x:c>
      <x:c r="I44" s="18" t="str">
        <x:v>PASS</x:v>
      </x:c>
    </x:row>
    <x:row r="45">
      <x:c r="A45" s="9" t="n">
        <x:v>44</x:v>
      </x:c>
      <x:c r="B45" s="9" t="str">
        <x:v>cagr</x:v>
      </x:c>
      <x:c r="C45" s="9" t="str">
        <x:v>CAGR from 2023 Base</x:v>
      </x:c>
      <x:c r="D45" s="9" t="str">
        <x:v>Growth &amp; Performance</x:v>
      </x:c>
      <x:c r="E45" s="9" t="str"/>
      <x:c r="F45" s="12" t="n">
        <x:f>0</x:f>
        <x:v>0</x:v>
      </x:c>
      <x:c r="G45" s="12" t="n">
        <x:f>'Comprehensive Inputs'!$D$2/'Comprehensive Inputs'!$C$2-1</x:f>
        <x:v>0.0888888888888888</x:v>
      </x:c>
      <x:c r="H45" s="12" t="n">
        <x:f>('Comprehensive Inputs'!$E$2/'Comprehensive Inputs'!$C$2)^(1/2)-1</x:f>
        <x:v>0.08012344973464347</x:v>
      </x:c>
      <x:c r="I45" s="18" t="str">
        <x:v>PASS</x:v>
      </x:c>
    </x:row>
    <x:row r="46">
      <x:c r="A46" s="9" t="n">
        <x:v>45</x:v>
      </x:c>
      <x:c r="B46" s="9" t="str">
        <x:v>organic-growth</x:v>
      </x:c>
      <x:c r="C46" s="9" t="str">
        <x:v>Organic Growth Rate</x:v>
      </x:c>
      <x:c r="D46" s="9" t="str">
        <x:v>Growth &amp; Performance</x:v>
      </x:c>
      <x:c r="E46" s="9" t="str"/>
      <x:c r="F46" s="12" t="n">
        <x:f>'Comprehensive Inputs'!$C$2/'Comprehensive Inputs'!$C$75-1</x:f>
        <x:v>0.05882352941176472</x:v>
      </x:c>
      <x:c r="G46" s="12" t="n">
        <x:f>'Comprehensive Inputs'!$D$2/'Comprehensive Inputs'!$D$75-1</x:f>
        <x:v>0.0888888888888888</x:v>
      </x:c>
      <x:c r="H46" s="12" t="n">
        <x:f>'Comprehensive Inputs'!$E$2/'Comprehensive Inputs'!$E$75-1</x:f>
        <x:v>0.0714285714285714</x:v>
      </x:c>
      <x:c r="I46" s="18" t="str">
        <x:v>PASS</x:v>
      </x:c>
    </x:row>
    <x:row r="47">
      <x:c r="A47" s="9" t="n">
        <x:v>46</x:v>
      </x:c>
      <x:c r="B47" s="9" t="str">
        <x:v>ebitda-growth</x:v>
      </x:c>
      <x:c r="C47" s="9" t="str">
        <x:v>EBITDA Growth Rate</x:v>
      </x:c>
      <x:c r="D47" s="9" t="str">
        <x:v>Growth &amp; Performance</x:v>
      </x:c>
      <x:c r="E47" s="9" t="str"/>
      <x:c r="F47" s="12" t="n">
        <x:f>0</x:f>
        <x:v>0</x:v>
      </x:c>
      <x:c r="G47" s="12" t="n">
        <x:f>'Comprehensive Inputs'!$D$7/'Comprehensive Inputs'!$C$7-1</x:f>
        <x:v>0.16666666666666674</x:v>
      </x:c>
      <x:c r="H47" s="12" t="n">
        <x:f>'Comprehensive Inputs'!$E$7/'Comprehensive Inputs'!$D$7-1</x:f>
        <x:v>0.1428571428571428</x:v>
      </x:c>
      <x:c r="I47" s="18" t="str">
        <x:v>PASS</x:v>
      </x:c>
    </x:row>
    <x:row r="48">
      <x:c r="A48" s="9" t="n">
        <x:v>47</x:v>
      </x:c>
      <x:c r="B48" s="9" t="str">
        <x:v>fcf</x:v>
      </x:c>
      <x:c r="C48" s="9" t="str">
        <x:v>Free Cash Flow (FCF)</x:v>
      </x:c>
      <x:c r="D48" s="9" t="str">
        <x:v>Cash Flow</x:v>
      </x:c>
      <x:c r="E48" s="9" t="str"/>
      <x:c r="F48" s="12" t="n">
        <x:f>'Comprehensive Inputs'!$C$18-'Comprehensive Inputs'!$C$17</x:f>
        <x:v>7000</x:v>
      </x:c>
      <x:c r="G48" s="12" t="n">
        <x:f>'Comprehensive Inputs'!$D$18-'Comprehensive Inputs'!$D$17</x:f>
        <x:v>9000</x:v>
      </x:c>
      <x:c r="H48" s="12" t="n">
        <x:f>'Comprehensive Inputs'!$E$18-'Comprehensive Inputs'!$E$17</x:f>
        <x:v>11500</x:v>
      </x:c>
      <x:c r="I48" s="18" t="str">
        <x:v>PASS</x:v>
      </x:c>
    </x:row>
    <x:row r="49">
      <x:c r="A49" s="9" t="n">
        <x:v>48</x:v>
      </x:c>
      <x:c r="B49" s="9" t="str">
        <x:v>fcf-margin</x:v>
      </x:c>
      <x:c r="C49" s="9" t="str">
        <x:v>Free Cash Flow Margin</x:v>
      </x:c>
      <x:c r="D49" s="9" t="str">
        <x:v>Cash Flow</x:v>
      </x:c>
      <x:c r="E49" s="9" t="str"/>
      <x:c r="F49" s="12" t="n">
        <x:f>('Comprehensive Inputs'!$C$18-'Comprehensive Inputs'!$C$17)/'Comprehensive Inputs'!$C$2</x:f>
        <x:v>0.07777777777777778</x:v>
      </x:c>
      <x:c r="G49" s="12" t="n">
        <x:f>('Comprehensive Inputs'!$D$18-'Comprehensive Inputs'!$D$17)/'Comprehensive Inputs'!$D$2</x:f>
        <x:v>0.09183673469387756</x:v>
      </x:c>
      <x:c r="H49" s="12" t="n">
        <x:f>('Comprehensive Inputs'!$E$18-'Comprehensive Inputs'!$E$17)/'Comprehensive Inputs'!$E$2</x:f>
        <x:v>0.10952380952380952</x:v>
      </x:c>
      <x:c r="I49" s="18" t="str">
        <x:v>PASS</x:v>
      </x:c>
    </x:row>
    <x:row r="50">
      <x:c r="A50" s="9" t="n">
        <x:v>49</x:v>
      </x:c>
      <x:c r="B50" s="9" t="str">
        <x:v>fcfe</x:v>
      </x:c>
      <x:c r="C50" s="9" t="str">
        <x:v>Free Cash Flow to Equity (FCFE)</x:v>
      </x:c>
      <x:c r="D50" s="9" t="str">
        <x:v>Cash Flow</x:v>
      </x:c>
      <x:c r="E50" s="9" t="str"/>
      <x:c r="F50" s="12" t="n">
        <x:f>'Comprehensive Inputs'!$C$18-'Comprehensive Inputs'!$C$17+'Comprehensive Inputs'!$C$86</x:f>
        <x:v>10000</x:v>
      </x:c>
      <x:c r="G50" s="12" t="n">
        <x:f>'Comprehensive Inputs'!$D$18-'Comprehensive Inputs'!$D$17+'Comprehensive Inputs'!$D$86</x:f>
        <x:v>12500</x:v>
      </x:c>
      <x:c r="H50" s="12" t="n">
        <x:f>'Comprehensive Inputs'!$E$18-'Comprehensive Inputs'!$E$17+'Comprehensive Inputs'!$E$86</x:f>
        <x:v>14000</x:v>
      </x:c>
      <x:c r="I50" s="18" t="str">
        <x:v>PASS</x:v>
      </x:c>
    </x:row>
    <x:row r="51">
      <x:c r="A51" s="9" t="n">
        <x:v>50</x:v>
      </x:c>
      <x:c r="B51" s="9" t="str">
        <x:v>ocf-ratio</x:v>
      </x:c>
      <x:c r="C51" s="9" t="str">
        <x:v>Operating Cash Flow Ratio</x:v>
      </x:c>
      <x:c r="D51" s="9" t="str">
        <x:v>Cash Flow</x:v>
      </x:c>
      <x:c r="E51" s="9" t="str"/>
      <x:c r="F51" s="12" t="n">
        <x:f>'Comprehensive Inputs'!$C$18/'Comprehensive Inputs'!$C$10</x:f>
        <x:v>0.4</x:v>
      </x:c>
      <x:c r="G51" s="12" t="n">
        <x:f>'Comprehensive Inputs'!$D$18/'Comprehensive Inputs'!$D$10</x:f>
        <x:v>0.4418604651162791</x:v>
      </x:c>
      <x:c r="H51" s="12" t="n">
        <x:f>'Comprehensive Inputs'!$E$18/'Comprehensive Inputs'!$E$10</x:f>
        <x:v>0.4787234042553192</x:v>
      </x:c>
      <x:c r="I51" s="18" t="str">
        <x:v>PASS</x:v>
      </x:c>
    </x:row>
    <x:row r="52">
      <x:c r="A52" s="9" t="n">
        <x:v>51</x:v>
      </x:c>
      <x:c r="B52" s="9" t="str">
        <x:v>cash-flow-coverage</x:v>
      </x:c>
      <x:c r="C52" s="9" t="str">
        <x:v>Cash Flow Coverage Ratio</x:v>
      </x:c>
      <x:c r="D52" s="9" t="str">
        <x:v>Cash Flow</x:v>
      </x:c>
      <x:c r="E52" s="9" t="str"/>
      <x:c r="F52" s="12" t="n">
        <x:f>'Comprehensive Inputs'!$C$18/'Comprehensive Inputs'!$C$41</x:f>
        <x:v>2</x:v>
      </x:c>
      <x:c r="G52" s="12" t="n">
        <x:f>'Comprehensive Inputs'!$D$18/'Comprehensive Inputs'!$D$41</x:f>
        <x:v>2.4358974358974357</x:v>
      </x:c>
      <x:c r="H52" s="12" t="n">
        <x:f>'Comprehensive Inputs'!$E$18/'Comprehensive Inputs'!$E$41</x:f>
        <x:v>2.960526315789474</x:v>
      </x:c>
      <x:c r="I52" s="18" t="str">
        <x:v>PASS</x:v>
      </x:c>
    </x:row>
    <x:row r="53">
      <x:c r="A53" s="9" t="n">
        <x:v>52</x:v>
      </x:c>
      <x:c r="B53" s="9" t="str">
        <x:v>cash-conversion-ratio</x:v>
      </x:c>
      <x:c r="C53" s="9" t="str">
        <x:v>Cash Conversion Ratio</x:v>
      </x:c>
      <x:c r="D53" s="9" t="str">
        <x:v>Cash Flow</x:v>
      </x:c>
      <x:c r="E53" s="9" t="str"/>
      <x:c r="F53" s="12" t="n">
        <x:f>'Comprehensive Inputs'!$C$18/'Comprehensive Inputs'!$C$7</x:f>
        <x:v>0.8888888888888888</x:v>
      </x:c>
      <x:c r="G53" s="12" t="n">
        <x:f>'Comprehensive Inputs'!$D$18/'Comprehensive Inputs'!$D$7</x:f>
        <x:v>0.9047619047619048</x:v>
      </x:c>
      <x:c r="H53" s="12" t="n">
        <x:f>'Comprehensive Inputs'!$E$18/'Comprehensive Inputs'!$E$7</x:f>
        <x:v>0.9375</x:v>
      </x:c>
      <x:c r="I53" s="18" t="str">
        <x:v>PASS</x:v>
      </x:c>
    </x:row>
    <x:row r="54">
      <x:c r="A54" s="9" t="n">
        <x:v>53</x:v>
      </x:c>
      <x:c r="B54" s="9" t="str">
        <x:v>cash-burn-rate</x:v>
      </x:c>
      <x:c r="C54" s="9" t="str">
        <x:v>Cash Burn Rate</x:v>
      </x:c>
      <x:c r="D54" s="9" t="str">
        <x:v>Cash Flow</x:v>
      </x:c>
      <x:c r="E54" s="9" t="str"/>
      <x:c r="F54" s="12" t="n">
        <x:f>('Comprehensive Inputs'!$C$80-'Comprehensive Inputs'!$C$81)/12</x:f>
        <x:v>-166.66666666666666</x:v>
      </x:c>
      <x:c r="G54" s="12" t="n">
        <x:f>('Comprehensive Inputs'!$D$80-'Comprehensive Inputs'!$D$81)/12</x:f>
        <x:v>-333.3333333333333</x:v>
      </x:c>
      <x:c r="H54" s="12" t="n">
        <x:f>('Comprehensive Inputs'!$E$80-'Comprehensive Inputs'!$E$81)/12</x:f>
        <x:v>-333.3333333333333</x:v>
      </x:c>
      <x:c r="I54" s="18" t="str">
        <x:v>PASS</x:v>
      </x:c>
    </x:row>
    <x:row r="55">
      <x:c r="A55" s="9" t="n">
        <x:v>54</x:v>
      </x:c>
      <x:c r="B55" s="9" t="str">
        <x:v>net-working-capital</x:v>
      </x:c>
      <x:c r="C55" s="9" t="str">
        <x:v>Net Working Capital</x:v>
      </x:c>
      <x:c r="D55" s="9" t="str">
        <x:v>Working Capital &amp; Capital Efficiency</x:v>
      </x:c>
      <x:c r="E55" s="9" t="str"/>
      <x:c r="F55" s="12" t="n">
        <x:f>'Comprehensive Inputs'!$C$9-'Comprehensive Inputs'!$C$10</x:f>
        <x:v>20000</x:v>
      </x:c>
      <x:c r="G55" s="12" t="n">
        <x:f>'Comprehensive Inputs'!$D$9-'Comprehensive Inputs'!$D$10</x:f>
        <x:v>25000</x:v>
      </x:c>
      <x:c r="H55" s="12" t="n">
        <x:f>'Comprehensive Inputs'!$E$9-'Comprehensive Inputs'!$E$10</x:f>
        <x:v>29000</x:v>
      </x:c>
      <x:c r="I55" s="18" t="str">
        <x:v>PASS</x:v>
      </x:c>
    </x:row>
    <x:row r="56">
      <x:c r="A56" s="9" t="n">
        <x:v>55</x:v>
      </x:c>
      <x:c r="B56" s="9" t="str">
        <x:v>working-capital-turnover</x:v>
      </x:c>
      <x:c r="C56" s="9" t="str">
        <x:v>Working Capital Turnover</x:v>
      </x:c>
      <x:c r="D56" s="9" t="str">
        <x:v>Working Capital &amp; Capital Efficiency</x:v>
      </x:c>
      <x:c r="E56" s="9" t="str"/>
      <x:c r="F56" s="12" t="n">
        <x:f>'Comprehensive Inputs'!$C$2/'Comprehensive Inputs'!$C$82</x:f>
        <x:v>4.7368421052631575</x:v>
      </x:c>
      <x:c r="G56" s="12" t="n">
        <x:f>'Comprehensive Inputs'!$D$2/'Comprehensive Inputs'!$D$82</x:f>
        <x:v>4.454545454545454</x:v>
      </x:c>
      <x:c r="H56" s="12" t="n">
        <x:f>'Comprehensive Inputs'!$E$2/'Comprehensive Inputs'!$E$82</x:f>
        <x:v>4.285714285714286</x:v>
      </x:c>
      <x:c r="I56" s="18" t="str">
        <x:v>PASS</x:v>
      </x:c>
    </x:row>
    <x:row r="57">
      <x:c r="A57" s="9" t="n">
        <x:v>56</x:v>
      </x:c>
      <x:c r="B57" s="9" t="str">
        <x:v>capex-to-revenue</x:v>
      </x:c>
      <x:c r="C57" s="9" t="str">
        <x:v>CapEx to Revenue Ratio</x:v>
      </x:c>
      <x:c r="D57" s="9" t="str">
        <x:v>Working Capital &amp; Capital Efficiency</x:v>
      </x:c>
      <x:c r="E57" s="9" t="str"/>
      <x:c r="F57" s="12" t="n">
        <x:f>'Comprehensive Inputs'!$C$17/'Comprehensive Inputs'!$C$2</x:f>
        <x:v>0.1</x:v>
      </x:c>
      <x:c r="G57" s="12" t="n">
        <x:f>'Comprehensive Inputs'!$D$17/'Comprehensive Inputs'!$D$2</x:f>
        <x:v>0.10204081632653061</x:v>
      </x:c>
      <x:c r="H57" s="12" t="n">
        <x:f>'Comprehensive Inputs'!$E$17/'Comprehensive Inputs'!$E$2</x:f>
        <x:v>0.10476190476190476</x:v>
      </x:c>
      <x:c r="I57" s="18" t="str">
        <x:v>PASS</x:v>
      </x:c>
    </x:row>
    <x:row r="58">
      <x:c r="A58" s="9" t="n">
        <x:v>57</x:v>
      </x:c>
      <x:c r="B58" s="9" t="str">
        <x:v>capex-to-depreciation</x:v>
      </x:c>
      <x:c r="C58" s="9" t="str">
        <x:v>CapEx to Depreciation Ratio</x:v>
      </x:c>
      <x:c r="D58" s="9" t="str">
        <x:v>Working Capital &amp; Capital Efficiency</x:v>
      </x:c>
      <x:c r="E58" s="9" t="str"/>
      <x:c r="F58" s="12" t="n">
        <x:f>'Comprehensive Inputs'!$C$17/'Comprehensive Inputs'!$C$19</x:f>
        <x:v>1.5</x:v>
      </x:c>
      <x:c r="G58" s="12" t="n">
        <x:f>'Comprehensive Inputs'!$D$17/'Comprehensive Inputs'!$D$19</x:f>
        <x:v>1.5384615384615385</x:v>
      </x:c>
      <x:c r="H58" s="12" t="n">
        <x:f>'Comprehensive Inputs'!$E$17/'Comprehensive Inputs'!$E$19</x:f>
        <x:v>1.5714285714285714</x:v>
      </x:c>
      <x:c r="I58" s="18" t="str">
        <x:v>PASS</x:v>
      </x:c>
    </x:row>
    <x:row r="59">
      <x:c r="A59" s="9" t="n">
        <x:v>58</x:v>
      </x:c>
      <x:c r="B59" s="9" t="str">
        <x:v>asset-utilization</x:v>
      </x:c>
      <x:c r="C59" s="9" t="str">
        <x:v>Asset Utilization Ratio</x:v>
      </x:c>
      <x:c r="D59" s="9" t="str">
        <x:v>Working Capital &amp; Capital Efficiency</x:v>
      </x:c>
      <x:c r="E59" s="9" t="str"/>
      <x:c r="F59" s="12" t="n">
        <x:f>'Comprehensive Inputs'!$C$2/'Comprehensive Inputs'!$C$35</x:f>
        <x:v>0.6122448979591837</x:v>
      </x:c>
      <x:c r="G59" s="12" t="n">
        <x:f>'Comprehensive Inputs'!$D$2/'Comprehensive Inputs'!$D$35</x:f>
        <x:v>0.6222222222222222</x:v>
      </x:c>
      <x:c r="H59" s="12" t="n">
        <x:f>'Comprehensive Inputs'!$E$2/'Comprehensive Inputs'!$E$35</x:f>
        <x:v>0.6051873198847262</x:v>
      </x:c>
      <x:c r="I59" s="18" t="str">
        <x:v>PASS</x:v>
      </x:c>
    </x:row>
    <x:row r="60">
      <x:c r="A60" s="9" t="n">
        <x:v>59</x:v>
      </x:c>
      <x:c r="B60" s="9" t="str">
        <x:v>opex-ratio</x:v>
      </x:c>
      <x:c r="C60" s="9" t="str">
        <x:v>Operating Expense Ratio</x:v>
      </x:c>
      <x:c r="D60" s="9" t="str">
        <x:v>Cost &amp; Budget</x:v>
      </x:c>
      <x:c r="E60" s="9" t="str"/>
      <x:c r="F60" s="12" t="n">
        <x:f>'Comprehensive Inputs'!$C$59/'Comprehensive Inputs'!$C$2</x:f>
        <x:v>0.26666666666666666</x:v>
      </x:c>
      <x:c r="G60" s="12" t="n">
        <x:f>'Comprehensive Inputs'!$D$59/'Comprehensive Inputs'!$D$2</x:f>
        <x:v>0.25204081632653064</x:v>
      </x:c>
      <x:c r="H60" s="12" t="n">
        <x:f>'Comprehensive Inputs'!$E$59/'Comprehensive Inputs'!$E$2</x:f>
        <x:v>0.2580952380952381</x:v>
      </x:c>
      <x:c r="I60" s="18" t="str">
        <x:v>PASS</x:v>
      </x:c>
    </x:row>
    <x:row r="61">
      <x:c r="A61" s="9" t="n">
        <x:v>60</x:v>
      </x:c>
      <x:c r="B61" s="9" t="str">
        <x:v>cost-to-income</x:v>
      </x:c>
      <x:c r="C61" s="9" t="str">
        <x:v>Cost-to-Income Ratio</x:v>
      </x:c>
      <x:c r="D61" s="9" t="str">
        <x:v>Cost &amp; Budget</x:v>
      </x:c>
      <x:c r="E61" s="9" t="str"/>
      <x:c r="F61" s="12" t="n">
        <x:f>'Comprehensive Inputs'!$C$60/'Comprehensive Inputs'!$C$2</x:f>
        <x:v>0.4666666666666667</x:v>
      </x:c>
      <x:c r="G61" s="12" t="n">
        <x:f>'Comprehensive Inputs'!$D$60/'Comprehensive Inputs'!$D$2</x:f>
        <x:v>0.4520408163265306</x:v>
      </x:c>
      <x:c r="H61" s="12" t="n">
        <x:f>'Comprehensive Inputs'!$E$60/'Comprehensive Inputs'!$E$2</x:f>
        <x:v>0.41904761904761906</x:v>
      </x:c>
      <x:c r="I61" s="18" t="str">
        <x:v>PASS</x:v>
      </x:c>
    </x:row>
    <x:row r="62">
      <x:c r="A62" s="9" t="n">
        <x:v>61</x:v>
      </x:c>
      <x:c r="B62" s="9" t="str">
        <x:v>sga-ratio</x:v>
      </x:c>
      <x:c r="C62" s="9" t="str">
        <x:v>SG&amp;A Ratio</x:v>
      </x:c>
      <x:c r="D62" s="9" t="str">
        <x:v>Cost &amp; Budget</x:v>
      </x:c>
      <x:c r="E62" s="9" t="str"/>
      <x:c r="F62" s="12" t="n">
        <x:f>'Comprehensive Inputs'!$C$61/'Comprehensive Inputs'!$C$2</x:f>
        <x:v>0.15555555555555556</x:v>
      </x:c>
      <x:c r="G62" s="12" t="n">
        <x:f>'Comprehensive Inputs'!$D$61/'Comprehensive Inputs'!$D$2</x:f>
        <x:v>0.14795918367346939</x:v>
      </x:c>
      <x:c r="H62" s="12" t="n">
        <x:f>'Comprehensive Inputs'!$E$61/'Comprehensive Inputs'!$E$2</x:f>
        <x:v>0.15047619047619049</x:v>
      </x:c>
      <x:c r="I62" s="18" t="str">
        <x:v>PASS</x:v>
      </x:c>
    </x:row>
    <x:row r="63">
      <x:c r="A63" s="9" t="n">
        <x:v>62</x:v>
      </x:c>
      <x:c r="B63" s="9" t="str">
        <x:v>budget-variance</x:v>
      </x:c>
      <x:c r="C63" s="9" t="str">
        <x:v>Budget Variance</x:v>
      </x:c>
      <x:c r="D63" s="9" t="str">
        <x:v>Cost &amp; Budget</x:v>
      </x:c>
      <x:c r="E63" s="9" t="str"/>
      <x:c r="F63" s="12" t="n">
        <x:f>('Comprehensive Inputs'!$C$58-'Comprehensive Inputs'!$C$57)/'Comprehensive Inputs'!$C$57</x:f>
        <x:v>0.02127659574468085</x:v>
      </x:c>
      <x:c r="G63" s="12" t="n">
        <x:f>('Comprehensive Inputs'!$D$58-'Comprehensive Inputs'!$D$57)/'Comprehensive Inputs'!$D$57</x:f>
        <x:v>0.00816326530612245</x:v>
      </x:c>
      <x:c r="H63" s="12" t="n">
        <x:f>('Comprehensive Inputs'!$E$58-'Comprehensive Inputs'!$E$57)/'Comprehensive Inputs'!$E$57</x:f>
        <x:v>0.022641509433962263</x:v>
      </x:c>
      <x:c r="I63" s="18" t="str">
        <x:v>PASS</x:v>
      </x:c>
    </x:row>
    <x:row r="64">
      <x:c r="A64" s="9" t="n">
        <x:v>63</x:v>
      </x:c>
      <x:c r="B64" s="9" t="str">
        <x:v>cost-per-unit</x:v>
      </x:c>
      <x:c r="C64" s="9" t="str">
        <x:v>Cost per Unit</x:v>
      </x:c>
      <x:c r="D64" s="9" t="str">
        <x:v>Cost &amp; Budget</x:v>
      </x:c>
      <x:c r="E64" s="9" t="str"/>
      <x:c r="F64" s="12" t="n">
        <x:f>'Comprehensive Inputs'!$C$79/'Comprehensive Inputs'!$C$54</x:f>
        <x:v>0.3</x:v>
      </x:c>
      <x:c r="G64" s="12" t="n">
        <x:f>'Comprehensive Inputs'!$D$79/'Comprehensive Inputs'!$D$54</x:f>
        <x:v>0.3047619047619048</x:v>
      </x:c>
      <x:c r="H64" s="12" t="n">
        <x:f>'Comprehensive Inputs'!$E$79/'Comprehensive Inputs'!$E$54</x:f>
        <x:v>0.3090909090909091</x:v>
      </x:c>
      <x:c r="I64" s="18" t="str">
        <x:v>PASS</x:v>
      </x:c>
    </x:row>
    <x:row r="65">
      <x:c r="A65" s="9" t="n">
        <x:v>64</x:v>
      </x:c>
      <x:c r="B65" s="9" t="str">
        <x:v>mrr</x:v>
      </x:c>
      <x:c r="C65" s="9" t="str">
        <x:v>Monthly Recurring Revenue (MRR)</x:v>
      </x:c>
      <x:c r="D65" s="9" t="str">
        <x:v>SaaS / Recurring Revenue</x:v>
      </x:c>
      <x:c r="E65" s="9" t="str"/>
      <x:c r="F65" s="12" t="n">
        <x:f>'Comprehensive Inputs'!$C$62</x:f>
        <x:v>7500</x:v>
      </x:c>
      <x:c r="G65" s="12" t="n">
        <x:f>'Comprehensive Inputs'!$D$62</x:f>
        <x:v>8500</x:v>
      </x:c>
      <x:c r="H65" s="12" t="n">
        <x:f>'Comprehensive Inputs'!$E$62</x:f>
        <x:v>10000</x:v>
      </x:c>
      <x:c r="I65" s="18" t="str">
        <x:v>PASS</x:v>
      </x:c>
    </x:row>
    <x:row r="66">
      <x:c r="A66" s="9" t="n">
        <x:v>65</x:v>
      </x:c>
      <x:c r="B66" s="9" t="str">
        <x:v>arr</x:v>
      </x:c>
      <x:c r="C66" s="9" t="str">
        <x:v>Annual Recurring Revenue (ARR)</x:v>
      </x:c>
      <x:c r="D66" s="9" t="str">
        <x:v>SaaS / Recurring Revenue</x:v>
      </x:c>
      <x:c r="E66" s="9" t="str"/>
      <x:c r="F66" s="12" t="n">
        <x:f>'Comprehensive Inputs'!$C$62*12</x:f>
        <x:v>90000</x:v>
      </x:c>
      <x:c r="G66" s="12" t="n">
        <x:f>'Comprehensive Inputs'!$D$62*12</x:f>
        <x:v>102000</x:v>
      </x:c>
      <x:c r="H66" s="12" t="n">
        <x:f>'Comprehensive Inputs'!$E$62*12</x:f>
        <x:v>120000</x:v>
      </x:c>
      <x:c r="I66" s="18" t="str">
        <x:v>PASS</x:v>
      </x:c>
    </x:row>
    <x:row r="67">
      <x:c r="A67" s="9" t="n">
        <x:v>66</x:v>
      </x:c>
      <x:c r="B67" s="9" t="str">
        <x:v>cac</x:v>
      </x:c>
      <x:c r="C67" s="9" t="str">
        <x:v>Customer Acquisition Cost (CAC)</x:v>
      </x:c>
      <x:c r="D67" s="9" t="str">
        <x:v>SaaS / Recurring Revenue</x:v>
      </x:c>
      <x:c r="E67" s="9" t="str"/>
      <x:c r="F67" s="12" t="n">
        <x:f>'Comprehensive Inputs'!$C$63/'Comprehensive Inputs'!$C$64</x:f>
        <x:v>100</x:v>
      </x:c>
      <x:c r="G67" s="12" t="n">
        <x:f>'Comprehensive Inputs'!$D$63/'Comprehensive Inputs'!$D$64</x:f>
        <x:v>100</x:v>
      </x:c>
      <x:c r="H67" s="12" t="n">
        <x:f>'Comprehensive Inputs'!$E$63/'Comprehensive Inputs'!$E$64</x:f>
        <x:v>100</x:v>
      </x:c>
      <x:c r="I67" s="18" t="str">
        <x:v>PASS</x:v>
      </x:c>
    </x:row>
    <x:row r="68">
      <x:c r="A68" s="9" t="n">
        <x:v>67</x:v>
      </x:c>
      <x:c r="B68" s="9" t="str">
        <x:v>ltv</x:v>
      </x:c>
      <x:c r="C68" s="9" t="str">
        <x:v>Customer Lifetime Value (LTV)</x:v>
      </x:c>
      <x:c r="D68" s="9" t="str">
        <x:v>SaaS / Recurring Revenue</x:v>
      </x:c>
      <x:c r="E68" s="9" t="str"/>
      <x:c r="F68" s="12" t="n">
        <x:f>('Comprehensive Inputs'!$C$65*'Comprehensive Inputs'!$C$4/'Comprehensive Inputs'!$C$2)/'Comprehensive Inputs'!$C$66</x:f>
        <x:v>685.7142857142857</x:v>
      </x:c>
      <x:c r="G68" s="12" t="n">
        <x:f>('Comprehensive Inputs'!$D$65*'Comprehensive Inputs'!$D$4/'Comprehensive Inputs'!$D$2)/'Comprehensive Inputs'!$D$66</x:f>
        <x:v>787.5</x:v>
      </x:c>
      <x:c r="H68" s="12" t="n">
        <x:f>('Comprehensive Inputs'!$E$65*'Comprehensive Inputs'!$E$4/'Comprehensive Inputs'!$E$2)/'Comprehensive Inputs'!$E$66</x:f>
        <x:v>938</x:v>
      </x:c>
      <x:c r="I68" s="18" t="str">
        <x:v>PASS</x:v>
      </x:c>
    </x:row>
    <x:row r="69">
      <x:c r="A69" s="9" t="n">
        <x:v>68</x:v>
      </x:c>
      <x:c r="B69" s="9" t="str">
        <x:v>ltv-cac</x:v>
      </x:c>
      <x:c r="C69" s="9" t="str">
        <x:v>LTV:CAC Ratio</x:v>
      </x:c>
      <x:c r="D69" s="9" t="str">
        <x:v>SaaS / Recurring Revenue</x:v>
      </x:c>
      <x:c r="E69" s="9" t="str"/>
      <x:c r="F69" s="12" t="n">
        <x:f>(('Comprehensive Inputs'!$C$65*'Comprehensive Inputs'!$C$4/'Comprehensive Inputs'!$C$2)/'Comprehensive Inputs'!$C$66)/('Comprehensive Inputs'!$C$63/'Comprehensive Inputs'!$C$64)</x:f>
        <x:v>6.857142857142857</x:v>
      </x:c>
      <x:c r="G69" s="12" t="n">
        <x:f>(('Comprehensive Inputs'!$D$65*'Comprehensive Inputs'!$D$4/'Comprehensive Inputs'!$D$2)/'Comprehensive Inputs'!$D$66)/('Comprehensive Inputs'!$D$63/'Comprehensive Inputs'!$D$64)</x:f>
        <x:v>7.875</x:v>
      </x:c>
      <x:c r="H69" s="12" t="n">
        <x:f>(('Comprehensive Inputs'!$E$65*'Comprehensive Inputs'!$E$4/'Comprehensive Inputs'!$E$2)/'Comprehensive Inputs'!$E$66)/('Comprehensive Inputs'!$E$63/'Comprehensive Inputs'!$E$64)</x:f>
        <x:v>9.38</x:v>
      </x:c>
      <x:c r="I69" s="18" t="str">
        <x:v>PASS</x:v>
      </x:c>
    </x:row>
    <x:row r="70">
      <x:c r="A70" s="9" t="n">
        <x:v>69</x:v>
      </x:c>
      <x:c r="B70" s="9" t="str">
        <x:v>cac-payback</x:v>
      </x:c>
      <x:c r="C70" s="9" t="str">
        <x:v>CAC Payback Period</x:v>
      </x:c>
      <x:c r="D70" s="9" t="str">
        <x:v>SaaS / Recurring Revenue</x:v>
      </x:c>
      <x:c r="E70" s="9" t="str"/>
      <x:c r="F70" s="12" t="n">
        <x:f>('Comprehensive Inputs'!$C$63/'Comprehensive Inputs'!$C$64)/('Comprehensive Inputs'!$C$65*'Comprehensive Inputs'!$C$4/'Comprehensive Inputs'!$C$2)</x:f>
        <x:v>4.166666666666667</x:v>
      </x:c>
      <x:c r="G70" s="12" t="n">
        <x:f>('Comprehensive Inputs'!$D$63/'Comprehensive Inputs'!$D$64)/('Comprehensive Inputs'!$D$65*'Comprehensive Inputs'!$D$4/'Comprehensive Inputs'!$D$2)</x:f>
        <x:v>3.9682539682539684</x:v>
      </x:c>
      <x:c r="H70" s="12" t="n">
        <x:f>('Comprehensive Inputs'!$E$63/'Comprehensive Inputs'!$E$64)/('Comprehensive Inputs'!$E$65*'Comprehensive Inputs'!$E$4/'Comprehensive Inputs'!$E$2)</x:f>
        <x:v>3.5536602700781805</x:v>
      </x:c>
      <x:c r="I70" s="18" t="str">
        <x:v>PASS</x:v>
      </x:c>
    </x:row>
    <x:row r="71">
      <x:c r="A71" s="9" t="n">
        <x:v>70</x:v>
      </x:c>
      <x:c r="B71" s="9" t="str">
        <x:v>nrr</x:v>
      </x:c>
      <x:c r="C71" s="9" t="str">
        <x:v>Net Revenue Retention (NRR)</x:v>
      </x:c>
      <x:c r="D71" s="9" t="str">
        <x:v>SaaS / Recurring Revenue</x:v>
      </x:c>
      <x:c r="E71" s="9" t="str"/>
      <x:c r="F71" s="12" t="n">
        <x:f>('Comprehensive Inputs'!$C$67+'Comprehensive Inputs'!$C$68-'Comprehensive Inputs'!$C$69-'Comprehensive Inputs'!$C$70)/'Comprehensive Inputs'!$C$67</x:f>
        <x:v>1.0038461538461538</x:v>
      </x:c>
      <x:c r="G71" s="12" t="n">
        <x:f>('Comprehensive Inputs'!$D$67+'Comprehensive Inputs'!$D$68-'Comprehensive Inputs'!$D$69-'Comprehensive Inputs'!$D$70)/'Comprehensive Inputs'!$D$67</x:f>
        <x:v>1.0102222222222221</x:v>
      </x:c>
      <x:c r="H71" s="12" t="n">
        <x:f>('Comprehensive Inputs'!$E$67+'Comprehensive Inputs'!$E$68-'Comprehensive Inputs'!$E$69-'Comprehensive Inputs'!$E$70)/'Comprehensive Inputs'!$E$67</x:f>
        <x:v>1.0190196078431373</x:v>
      </x:c>
      <x:c r="I71" s="18" t="str">
        <x:v>PASS</x:v>
      </x:c>
    </x:row>
    <x:row r="72">
      <x:c r="A72" s="9" t="n">
        <x:v>71</x:v>
      </x:c>
      <x:c r="B72" s="9" t="str">
        <x:v>grr</x:v>
      </x:c>
      <x:c r="C72" s="9" t="str">
        <x:v>Gross Revenue Retention (GRR)</x:v>
      </x:c>
      <x:c r="D72" s="9" t="str">
        <x:v>SaaS / Recurring Revenue</x:v>
      </x:c>
      <x:c r="E72" s="9" t="str"/>
      <x:c r="F72" s="12" t="n">
        <x:f>('Comprehensive Inputs'!$C$67-'Comprehensive Inputs'!$C$69-'Comprehensive Inputs'!$C$70)/'Comprehensive Inputs'!$C$67</x:f>
        <x:v>0.9397435897435897</x:v>
      </x:c>
      <x:c r="G72" s="12" t="n">
        <x:f>('Comprehensive Inputs'!$D$67-'Comprehensive Inputs'!$D$69-'Comprehensive Inputs'!$D$70)/'Comprehensive Inputs'!$D$67</x:f>
        <x:v>0.9435555555555556</x:v>
      </x:c>
      <x:c r="H72" s="12" t="n">
        <x:f>('Comprehensive Inputs'!$E$67-'Comprehensive Inputs'!$E$69-'Comprehensive Inputs'!$E$70)/'Comprehensive Inputs'!$E$67</x:f>
        <x:v>0.9454901960784313</x:v>
      </x:c>
      <x:c r="I72" s="18" t="str">
        <x:v>PASS</x:v>
      </x:c>
    </x:row>
    <x:row r="73">
      <x:c r="A73" s="9" t="n">
        <x:v>72</x:v>
      </x:c>
      <x:c r="B73" s="9" t="str">
        <x:v>revenue-churn</x:v>
      </x:c>
      <x:c r="C73" s="9" t="str">
        <x:v>Churn Rate (Revenue)</x:v>
      </x:c>
      <x:c r="D73" s="9" t="str">
        <x:v>SaaS / Recurring Revenue</x:v>
      </x:c>
      <x:c r="E73" s="9" t="str"/>
      <x:c r="F73" s="12" t="n">
        <x:f>'Comprehensive Inputs'!$C$70/'Comprehensive Inputs'!$C$67</x:f>
        <x:v>0.03461538461538462</x:v>
      </x:c>
      <x:c r="G73" s="12" t="n">
        <x:f>'Comprehensive Inputs'!$D$70/'Comprehensive Inputs'!$D$67</x:f>
        <x:v>0.032</x:v>
      </x:c>
      <x:c r="H73" s="12" t="n">
        <x:f>'Comprehensive Inputs'!$E$70/'Comprehensive Inputs'!$E$67</x:f>
        <x:v>0.03</x:v>
      </x:c>
      <x:c r="I73" s="18" t="str">
        <x:v>PASS</x:v>
      </x:c>
    </x:row>
    <x:row r="74">
      <x:c r="A74" s="9" t="n">
        <x:v>73</x:v>
      </x:c>
      <x:c r="B74" s="9" t="str">
        <x:v>logo-churn</x:v>
      </x:c>
      <x:c r="C74" s="9" t="str">
        <x:v>Churn Rate (Customer / Logo)</x:v>
      </x:c>
      <x:c r="D74" s="9" t="str">
        <x:v>SaaS / Recurring Revenue</x:v>
      </x:c>
      <x:c r="E74" s="9" t="str"/>
      <x:c r="F74" s="12" t="n">
        <x:f>'Comprehensive Inputs'!$C$71/'Comprehensive Inputs'!$C$72</x:f>
        <x:v>0.035</x:v>
      </x:c>
      <x:c r="G74" s="12" t="n">
        <x:f>'Comprehensive Inputs'!$D$71/'Comprehensive Inputs'!$D$72</x:f>
        <x:v>0.03214285714285714</x:v>
      </x:c>
      <x:c r="H74" s="12" t="n">
        <x:f>'Comprehensive Inputs'!$E$71/'Comprehensive Inputs'!$E$72</x:f>
        <x:v>0.03</x:v>
      </x:c>
      <x:c r="I74" s="18" t="str">
        <x:v>PASS</x:v>
      </x:c>
    </x:row>
    <x:row r="75">
      <x:c r="A75" s="9" t="n">
        <x:v>74</x:v>
      </x:c>
      <x:c r="B75" s="9" t="str">
        <x:v>rule-of-40</x:v>
      </x:c>
      <x:c r="C75" s="9" t="str">
        <x:v>Rule of 40</x:v>
      </x:c>
      <x:c r="D75" s="9" t="str">
        <x:v>SaaS / Recurring Revenue</x:v>
      </x:c>
      <x:c r="E75" s="9" t="str"/>
      <x:c r="F75" s="12" t="n">
        <x:f>(('Comprehensive Inputs'!$C$2/'Comprehensive Inputs'!$C$75)-1)+'Comprehensive Inputs'!$C$7/'Comprehensive Inputs'!$C$2</x:f>
        <x:v>0.25882352941176473</x:v>
      </x:c>
      <x:c r="G75" s="12" t="n">
        <x:f>(('Comprehensive Inputs'!$D$2/'Comprehensive Inputs'!$D$75)-1)+'Comprehensive Inputs'!$D$7/'Comprehensive Inputs'!$D$2</x:f>
        <x:v>0.3031746031746031</x:v>
      </x:c>
      <x:c r="H75" s="12" t="n">
        <x:f>(('Comprehensive Inputs'!$E$2/'Comprehensive Inputs'!$E$75)-1)+'Comprehensive Inputs'!$E$7/'Comprehensive Inputs'!$E$2</x:f>
        <x:v>0.29999999999999993</x:v>
      </x:c>
      <x:c r="I75" s="18" t="str">
        <x:v>PASS</x:v>
      </x:c>
    </x:row>
    <x:row r="76">
      <x:c r="A76" s="9" t="n">
        <x:v>75</x:v>
      </x:c>
      <x:c r="B76" s="9" t="str">
        <x:v>magic-number</x:v>
      </x:c>
      <x:c r="C76" s="9" t="str">
        <x:v>Magic Number</x:v>
      </x:c>
      <x:c r="D76" s="9" t="str">
        <x:v>SaaS / Recurring Revenue</x:v>
      </x:c>
      <x:c r="E76" s="9" t="str"/>
      <x:c r="F76" s="12" t="n">
        <x:f>(('Comprehensive Inputs'!$C$76-'Comprehensive Inputs'!$C$77)*4)/'Comprehensive Inputs'!$C$78</x:f>
        <x:v>2.142857142857143</x:v>
      </x:c>
      <x:c r="G76" s="12" t="n">
        <x:f>(('Comprehensive Inputs'!$D$76-'Comprehensive Inputs'!$D$77)*4)/'Comprehensive Inputs'!$D$78</x:f>
        <x:v>2.6666666666666665</x:v>
      </x:c>
      <x:c r="H76" s="12" t="n">
        <x:f>(('Comprehensive Inputs'!$E$76-'Comprehensive Inputs'!$E$77)*4)/'Comprehensive Inputs'!$E$78</x:f>
        <x:v>2.5</x:v>
      </x:c>
      <x:c r="I76" s="18" t="str">
        <x:v>PASS</x:v>
      </x:c>
    </x:row>
    <x:row r="77">
      <x:c r="A77" s="9" t="n">
        <x:v>76</x:v>
      </x:c>
      <x:c r="B77" s="9" t="str">
        <x:v>burn-multiple</x:v>
      </x:c>
      <x:c r="C77" s="9" t="str">
        <x:v>Burn Multiple</x:v>
      </x:c>
      <x:c r="D77" s="9" t="str">
        <x:v>SaaS / Recurring Revenue</x:v>
      </x:c>
      <x:c r="E77" s="9" t="str"/>
      <x:c r="F77" s="12" t="n">
        <x:f>'Comprehensive Inputs'!$C$73/'Comprehensive Inputs'!$C$74</x:f>
        <x:v>0.2222222222222222</x:v>
      </x:c>
      <x:c r="G77" s="12" t="n">
        <x:f>'Comprehensive Inputs'!$D$73/'Comprehensive Inputs'!$D$74</x:f>
        <x:v>0.22727272727272727</x:v>
      </x:c>
      <x:c r="H77" s="12" t="n">
        <x:f>'Comprehensive Inputs'!$E$73/'Comprehensive Inputs'!$E$74</x:f>
        <x:v>0.21428571428571427</x:v>
      </x:c>
      <x:c r="I77" s="18" t="str">
        <x:v>PASS</x:v>
      </x:c>
    </x:row>
    <x:row r="78">
      <x:c r="A78" s="9" t="n">
        <x:v>77</x:v>
      </x:c>
      <x:c r="B78" s="9" t="str">
        <x:v>altman-z</x:v>
      </x:c>
      <x:c r="C78" s="9" t="str">
        <x:v>Altman Z-Score</x:v>
      </x:c>
      <x:c r="D78" s="9" t="str">
        <x:v>Risk &amp; Capital Structure</x:v>
      </x:c>
      <x:c r="E78" s="9" t="str"/>
      <x:c r="F78" s="12" t="n">
        <x:f>1.2*(('Comprehensive Inputs'!$C$9-'Comprehensive Inputs'!$C$10)/'Comprehensive Inputs'!$C$11)+1.4*('Comprehensive Inputs'!$C$44/'Comprehensive Inputs'!$C$11)+3.3*('Comprehensive Inputs'!$C$5/'Comprehensive Inputs'!$C$11)+0.6*('Comprehensive Inputs'!$C$25/'Comprehensive Inputs'!$C$12)+1.0*('Comprehensive Inputs'!$C$2/'Comprehensive Inputs'!$C$11)</x:f>
        <x:v>3.5478095238095237</x:v>
      </x:c>
      <x:c r="G78" s="12" t="n">
        <x:f>1.2*(('Comprehensive Inputs'!$D$9-'Comprehensive Inputs'!$D$10)/'Comprehensive Inputs'!$D$11)+1.4*('Comprehensive Inputs'!$D$44/'Comprehensive Inputs'!$D$11)+3.3*('Comprehensive Inputs'!$D$5/'Comprehensive Inputs'!$D$11)+0.6*('Comprehensive Inputs'!$D$25/'Comprehensive Inputs'!$D$12)+1.0*('Comprehensive Inputs'!$D$2/'Comprehensive Inputs'!$D$11)</x:f>
        <x:v>3.7149122807017543</x:v>
      </x:c>
      <x:c r="H78" s="12" t="n">
        <x:f>1.2*(('Comprehensive Inputs'!$E$9-'Comprehensive Inputs'!$E$10)/'Comprehensive Inputs'!$E$11)+1.4*('Comprehensive Inputs'!$E$44/'Comprehensive Inputs'!$E$11)+3.3*('Comprehensive Inputs'!$E$5/'Comprehensive Inputs'!$E$11)+0.6*('Comprehensive Inputs'!$E$25/'Comprehensive Inputs'!$E$12)+1.0*('Comprehensive Inputs'!$E$2/'Comprehensive Inputs'!$E$11)</x:f>
        <x:v>3.8601343101343097</x:v>
      </x:c>
      <x:c r="I78" s="18" t="str">
        <x:v>PASS</x:v>
      </x:c>
    </x:row>
    <x:row r="79">
      <x:c r="A79" s="9" t="n">
        <x:v>78</x:v>
      </x:c>
      <x:c r="B79" s="9" t="str">
        <x:v>wacc</x:v>
      </x:c>
      <x:c r="C79" s="9" t="str">
        <x:v>Weighted Average Cost of Capital (WACC)</x:v>
      </x:c>
      <x:c r="D79" s="9" t="str">
        <x:v>Risk &amp; Capital Structure</x:v>
      </x:c>
      <x:c r="E79" s="9" t="str"/>
      <x:c r="F79" s="12" t="n">
        <x:f>('Comprehensive Inputs'!$C$25/('Comprehensive Inputs'!$C$25+'Comprehensive Inputs'!$C$13))*'Comprehensive Inputs'!$C$48+('Comprehensive Inputs'!$C$13/('Comprehensive Inputs'!$C$25+'Comprehensive Inputs'!$C$13))*'Comprehensive Inputs'!$C$49*(1-'Comprehensive Inputs'!$C$30)</x:f>
        <x:v>0.09072368421052632</x:v>
      </x:c>
      <x:c r="G79" s="12" t="n">
        <x:f>('Comprehensive Inputs'!$D$25/('Comprehensive Inputs'!$D$25+'Comprehensive Inputs'!$D$13))*'Comprehensive Inputs'!$D$48+('Comprehensive Inputs'!$D$13/('Comprehensive Inputs'!$D$25+'Comprehensive Inputs'!$D$13))*'Comprehensive Inputs'!$D$49*(1-'Comprehensive Inputs'!$D$30)</x:f>
        <x:v>0.09079245283018869</x:v>
      </x:c>
      <x:c r="H79" s="12" t="n">
        <x:f>('Comprehensive Inputs'!$E$25/('Comprehensive Inputs'!$E$25+'Comprehensive Inputs'!$E$13))*'Comprehensive Inputs'!$E$48+('Comprehensive Inputs'!$E$13/('Comprehensive Inputs'!$E$25+'Comprehensive Inputs'!$E$13))*'Comprehensive Inputs'!$E$49*(1-'Comprehensive Inputs'!$E$30)</x:f>
        <x:v>0.08678571428571427</x:v>
      </x:c>
      <x:c r="I79" s="18" t="str">
        <x:v>PASS</x:v>
      </x:c>
    </x:row>
    <x:row r="80">
      <x:c r="A80" s="9" t="n">
        <x:v>79</x:v>
      </x:c>
      <x:c r="B80" s="9" t="str">
        <x:v>eva</x:v>
      </x:c>
      <x:c r="C80" s="9" t="str">
        <x:v>Economic Value Added (EVA)</x:v>
      </x:c>
      <x:c r="D80" s="9" t="str">
        <x:v>Risk &amp; Capital Structure</x:v>
      </x:c>
      <x:c r="E80" s="9" t="str"/>
      <x:c r="F80" s="12" t="n">
        <x:f>'Comprehensive Inputs'!$C$31-('Comprehensive Inputs'!$C$32*('Comprehensive Inputs'!$C$48*'Comprehensive Inputs'!$C$25+'Comprehensive Inputs'!$C$49*'Comprehensive Inputs'!$C$13*(1-'Comprehensive Inputs'!$C$30))/('Comprehensive Inputs'!$C$25+'Comprehensive Inputs'!$C$13))</x:f>
        <x:v>-525.9868421052633</x:v>
      </x:c>
      <x:c r="G80" s="12" t="n">
        <x:f>'Comprehensive Inputs'!$D$31-('Comprehensive Inputs'!$D$32*('Comprehensive Inputs'!$D$48*'Comprehensive Inputs'!$D$25+'Comprehensive Inputs'!$D$49*'Comprehensive Inputs'!$D$13*(1-'Comprehensive Inputs'!$D$30))/('Comprehensive Inputs'!$D$25+'Comprehensive Inputs'!$D$13))</x:f>
        <x:v>252.28301886792542</x:v>
      </x:c>
      <x:c r="H80" s="12" t="n">
        <x:f>'Comprehensive Inputs'!$E$31-('Comprehensive Inputs'!$E$32*('Comprehensive Inputs'!$E$48*'Comprehensive Inputs'!$E$25+'Comprehensive Inputs'!$E$49*'Comprehensive Inputs'!$E$13*(1-'Comprehensive Inputs'!$E$30))/('Comprehensive Inputs'!$E$25+'Comprehensive Inputs'!$E$13))</x:f>
        <x:v>1381.0714285714294</x:v>
      </x:c>
      <x:c r="I80" s="18" t="str">
        <x:v>PASS</x:v>
      </x:c>
    </x:row>
    <x:row r="81">
      <x:c r="A81" s="9" t="n">
        <x:v>80</x:v>
      </x:c>
      <x:c r="B81" s="9" t="str">
        <x:v>capm</x:v>
      </x:c>
      <x:c r="C81" s="9" t="str">
        <x:v>Beta-adjusted Cost of Equity (CAPM)</x:v>
      </x:c>
      <x:c r="D81" s="9" t="str">
        <x:v>Risk &amp; Capital Structure</x:v>
      </x:c>
      <x:c r="E81" s="9" t="str"/>
      <x:c r="F81" s="12" t="n">
        <x:f>'Comprehensive Inputs'!$C$45+'Comprehensive Inputs'!$C$46*('Comprehensive Inputs'!$C$47-'Comprehensive Inputs'!$C$45)</x:f>
        <x:v>0.095</x:v>
      </x:c>
      <x:c r="G81" s="12" t="n">
        <x:f>'Comprehensive Inputs'!$D$45+'Comprehensive Inputs'!$D$46*('Comprehensive Inputs'!$D$47-'Comprehensive Inputs'!$D$45)</x:f>
        <x:v>0.09924</x:v>
      </x:c>
      <x:c r="H81" s="12" t="n">
        <x:f>'Comprehensive Inputs'!$E$45+'Comprehensive Inputs'!$E$46*('Comprehensive Inputs'!$E$47-'Comprehensive Inputs'!$E$45)</x:f>
        <x:v>0.10285000000000001</x:v>
      </x:c>
      <x:c r="I81" s="18" t="str">
        <x:v>PASS</x:v>
      </x:c>
    </x:row>
    <x:row r="82">
      <x:c r="A82" s="9" t="n">
        <x:v>81</x:v>
      </x:c>
      <x:c r="B82" s="9" t="str">
        <x:v>ebitda-derived</x:v>
      </x:c>
      <x:c r="C82" s="9" t="str">
        <x:v>EBITDA (Derived)</x:v>
      </x:c>
      <x:c r="D82" s="9" t="str">
        <x:v>Board / Investor KPIs</x:v>
      </x:c>
      <x:c r="E82" s="9" t="str"/>
      <x:c r="F82" s="12" t="n">
        <x:f>'Comprehensive Inputs'!$C$6+'Comprehensive Inputs'!$C$20+'Comprehensive Inputs'!$C$83+'Comprehensive Inputs'!$C$19</x:f>
        <x:v>20200</x:v>
      </x:c>
      <x:c r="G82" s="12" t="n">
        <x:f>'Comprehensive Inputs'!$D$6+'Comprehensive Inputs'!$D$20+'Comprehensive Inputs'!$D$83+'Comprehensive Inputs'!$D$19</x:f>
        <x:v>23400</x:v>
      </x:c>
      <x:c r="H82" s="12" t="n">
        <x:f>'Comprehensive Inputs'!$E$6+'Comprehensive Inputs'!$E$20+'Comprehensive Inputs'!$E$83+'Comprehensive Inputs'!$E$19</x:f>
        <x:v>26500</x:v>
      </x:c>
      <x:c r="I82" s="18" t="str">
        <x:v>PASS</x:v>
      </x:c>
    </x:row>
    <x:row r="83">
      <x:c r="A83" s="9" t="n">
        <x:v>82</x:v>
      </x:c>
      <x:c r="B83" s="9" t="str">
        <x:v>adjusted-ebitda</x:v>
      </x:c>
      <x:c r="C83" s="9" t="str">
        <x:v>Adjusted EBITDA</x:v>
      </x:c>
      <x:c r="D83" s="9" t="str">
        <x:v>Board / Investor KPIs</x:v>
      </x:c>
      <x:c r="E83" s="9" t="str"/>
      <x:c r="F83" s="12" t="n">
        <x:f>'Comprehensive Inputs'!$C$7+'Comprehensive Inputs'!$C$50</x:f>
        <x:v>18500</x:v>
      </x:c>
      <x:c r="G83" s="12" t="n">
        <x:f>'Comprehensive Inputs'!$D$7+'Comprehensive Inputs'!$D$50</x:f>
        <x:v>21800</x:v>
      </x:c>
      <x:c r="H83" s="12" t="n">
        <x:f>'Comprehensive Inputs'!$E$7+'Comprehensive Inputs'!$E$50</x:f>
        <x:v>24600</x:v>
      </x:c>
      <x:c r="I83" s="18" t="str">
        <x:v>PASS</x:v>
      </x:c>
    </x:row>
    <x:row r="84">
      <x:c r="A84" s="9" t="n">
        <x:v>83</x:v>
      </x:c>
      <x:c r="B84" s="9" t="str">
        <x:v>operating-leverage</x:v>
      </x:c>
      <x:c r="C84" s="9" t="str">
        <x:v>Operating Leverage</x:v>
      </x:c>
      <x:c r="D84" s="9" t="str">
        <x:v>Board / Investor KPIs</x:v>
      </x:c>
      <x:c r="E84" s="9" t="str"/>
      <x:c r="F84" s="12" t="n">
        <x:f>('Comprehensive Inputs'!$C$5/'Comprehensive Inputs'!$C$2)</x:f>
        <x:v>0.13333333333333333</x:v>
      </x:c>
      <x:c r="G84" s="12" t="n">
        <x:f>('Comprehensive Inputs'!$D$5/'Comprehensive Inputs'!$D$2)</x:f>
        <x:v>0.14795918367346939</x:v>
      </x:c>
      <x:c r="H84" s="12" t="n">
        <x:f>('Comprehensive Inputs'!$E$5/'Comprehensive Inputs'!$E$2)</x:f>
        <x:v>0.1619047619047619</x:v>
      </x:c>
      <x:c r="I84" s="18" t="str">
        <x:v>PASS</x:v>
      </x:c>
    </x:row>
    <x:row r="85">
      <x:c r="A85" s="9" t="n">
        <x:v>84</x:v>
      </x:c>
      <x:c r="B85" s="9" t="str">
        <x:v>break-even-units</x:v>
      </x:c>
      <x:c r="C85" s="9" t="str">
        <x:v>Break-even Point (Units)</x:v>
      </x:c>
      <x:c r="D85" s="9" t="str">
        <x:v>Board / Investor KPIs</x:v>
      </x:c>
      <x:c r="E85" s="9" t="str"/>
      <x:c r="F85" s="12" t="n">
        <x:f>'Comprehensive Inputs'!$C$51/('Comprehensive Inputs'!$C$52-'Comprehensive Inputs'!$C$53)</x:f>
        <x:v>60000</x:v>
      </x:c>
      <x:c r="G85" s="12" t="n">
        <x:f>'Comprehensive Inputs'!$D$51/('Comprehensive Inputs'!$D$52-'Comprehensive Inputs'!$D$53)</x:f>
        <x:v>57812.5</x:v>
      </x:c>
      <x:c r="H85" s="12" t="n">
        <x:f>'Comprehensive Inputs'!$E$51/('Comprehensive Inputs'!$E$52-'Comprehensive Inputs'!$E$53)</x:f>
        <x:v>55882.35294117647</x:v>
      </x:c>
      <x:c r="I85" s="18" t="str">
        <x:v>PASS</x:v>
      </x:c>
    </x:row>
    <x:row r="86">
      <x:c r="A86" s="9" t="n">
        <x:v>85</x:v>
      </x:c>
      <x:c r="B86" s="9" t="str">
        <x:v>margin-of-safety</x:v>
      </x:c>
      <x:c r="C86" s="9" t="str">
        <x:v>Margin of Safety</x:v>
      </x:c>
      <x:c r="D86" s="9" t="str">
        <x:v>Board / Investor KPIs</x:v>
      </x:c>
      <x:c r="E86" s="9" t="str"/>
      <x:c r="F86" s="12" t="n">
        <x:f>('Comprehensive Inputs'!$C$55-'Comprehensive Inputs'!$C$56)/'Comprehensive Inputs'!$C$55</x:f>
        <x:v>0.3076923076923077</x:v>
      </x:c>
      <x:c r="G86" s="12" t="n">
        <x:f>('Comprehensive Inputs'!$D$55-'Comprehensive Inputs'!$D$56)/'Comprehensive Inputs'!$D$55</x:f>
        <x:v>0.3392857142857143</x:v>
      </x:c>
      <x:c r="H86" s="12" t="n">
        <x:f>('Comprehensive Inputs'!$E$55-'Comprehensive Inputs'!$E$56)/'Comprehensive Inputs'!$E$55</x:f>
        <x:v>0.35</x:v>
      </x:c>
      <x:c r="I86" s="18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a1d2bbfb4fc047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</x:cols>
  <x:sheetData>
    <x:row r="1">
      <x:c r="A1" s="8" t="str">
        <x:v>KPI #</x:v>
      </x:c>
      <x:c r="B1" s="8" t="str">
        <x:v>KPI</x:v>
      </x:c>
      <x:c r="C1" s="8" t="str">
        <x:v>2023 Input/Calc</x:v>
      </x:c>
      <x:c r="D1" s="8" t="str">
        <x:v>2024 Input/Calc</x:v>
      </x:c>
      <x:c r="E1" s="8" t="str">
        <x:v>2025 Input/Calc</x:v>
      </x:c>
      <x:c r="F1" s="8" t="str">
        <x:v>Formula Present</x:v>
      </x:c>
      <x:c r="G1" s="8" t="str">
        <x:v>Status</x:v>
      </x:c>
    </x:row>
    <x:row r="2">
      <x:c r="A2" s="9" t="n">
        <x:v>1</x:v>
      </x:c>
      <x:c r="B2" s="9" t="str">
        <x:v>Current Ratio</x:v>
      </x:c>
      <x:c r="C2" s="9" t="str">
        <x:v>POPULATED</x:v>
      </x:c>
      <x:c r="D2" s="9" t="str">
        <x:v>POPULATED</x:v>
      </x:c>
      <x:c r="E2" s="9" t="str">
        <x:v>POPULATED</x:v>
      </x:c>
      <x:c r="F2" s="9" t="str">
        <x:v>YES</x:v>
      </x:c>
      <x:c r="G2" s="18" t="str">
        <x:v>PASS</x:v>
      </x:c>
    </x:row>
    <x:row r="3">
      <x:c r="A3" s="9" t="n">
        <x:v>2</x:v>
      </x:c>
      <x:c r="B3" s="9" t="str">
        <x:v>Quick Ratio (Acid-Test)</x:v>
      </x:c>
      <x:c r="C3" s="9" t="str">
        <x:v>POPULATED</x:v>
      </x:c>
      <x:c r="D3" s="9" t="str">
        <x:v>POPULATED</x:v>
      </x:c>
      <x:c r="E3" s="9" t="str">
        <x:v>POPULATED</x:v>
      </x:c>
      <x:c r="F3" s="9" t="str">
        <x:v>YES</x:v>
      </x:c>
      <x:c r="G3" s="18" t="str">
        <x:v>PASS</x:v>
      </x:c>
    </x:row>
    <x:row r="4">
      <x:c r="A4" s="9" t="n">
        <x:v>3</x:v>
      </x:c>
      <x:c r="B4" s="9" t="str">
        <x:v>Cash Ratio</x:v>
      </x:c>
      <x:c r="C4" s="9" t="str">
        <x:v>POPULATED</x:v>
      </x:c>
      <x:c r="D4" s="9" t="str">
        <x:v>POPULATED</x:v>
      </x:c>
      <x:c r="E4" s="9" t="str">
        <x:v>POPULATED</x:v>
      </x:c>
      <x:c r="F4" s="9" t="str">
        <x:v>YES</x:v>
      </x:c>
      <x:c r="G4" s="18" t="str">
        <x:v>PASS</x:v>
      </x:c>
    </x:row>
    <x:row r="5">
      <x:c r="A5" s="9" t="n">
        <x:v>4</x:v>
      </x:c>
      <x:c r="B5" s="9" t="str">
        <x:v>Working Capital</x:v>
      </x:c>
      <x:c r="C5" s="9" t="str">
        <x:v>POPULATED</x:v>
      </x:c>
      <x:c r="D5" s="9" t="str">
        <x:v>POPULATED</x:v>
      </x:c>
      <x:c r="E5" s="9" t="str">
        <x:v>POPULATED</x:v>
      </x:c>
      <x:c r="F5" s="9" t="str">
        <x:v>YES</x:v>
      </x:c>
      <x:c r="G5" s="18" t="str">
        <x:v>PASS</x:v>
      </x:c>
    </x:row>
    <x:row r="6">
      <x:c r="A6" s="9" t="n">
        <x:v>5</x:v>
      </x:c>
      <x:c r="B6" s="9" t="str">
        <x:v>Working Capital Ratio</x:v>
      </x:c>
      <x:c r="C6" s="9" t="str">
        <x:v>POPULATED</x:v>
      </x:c>
      <x:c r="D6" s="9" t="str">
        <x:v>POPULATED</x:v>
      </x:c>
      <x:c r="E6" s="9" t="str">
        <x:v>POPULATED</x:v>
      </x:c>
      <x:c r="F6" s="9" t="str">
        <x:v>YES</x:v>
      </x:c>
      <x:c r="G6" s="18" t="str">
        <x:v>PASS</x:v>
      </x:c>
    </x:row>
    <x:row r="7">
      <x:c r="A7" s="9" t="n">
        <x:v>6</x:v>
      </x:c>
      <x:c r="B7" s="9" t="str">
        <x:v>Net Working Capital to Sales</x:v>
      </x:c>
      <x:c r="C7" s="9" t="str">
        <x:v>POPULATED</x:v>
      </x:c>
      <x:c r="D7" s="9" t="str">
        <x:v>POPULATED</x:v>
      </x:c>
      <x:c r="E7" s="9" t="str">
        <x:v>POPULATED</x:v>
      </x:c>
      <x:c r="F7" s="9" t="str">
        <x:v>YES</x:v>
      </x:c>
      <x:c r="G7" s="18" t="str">
        <x:v>PASS</x:v>
      </x:c>
    </x:row>
    <x:row r="8">
      <x:c r="A8" s="9" t="n">
        <x:v>7</x:v>
      </x:c>
      <x:c r="B8" s="9" t="str">
        <x:v>Gross Profit Margin</x:v>
      </x:c>
      <x:c r="C8" s="9" t="str">
        <x:v>POPULATED</x:v>
      </x:c>
      <x:c r="D8" s="9" t="str">
        <x:v>POPULATED</x:v>
      </x:c>
      <x:c r="E8" s="9" t="str">
        <x:v>POPULATED</x:v>
      </x:c>
      <x:c r="F8" s="9" t="str">
        <x:v>YES</x:v>
      </x:c>
      <x:c r="G8" s="18" t="str">
        <x:v>PASS</x:v>
      </x:c>
    </x:row>
    <x:row r="9">
      <x:c r="A9" s="9" t="n">
        <x:v>8</x:v>
      </x:c>
      <x:c r="B9" s="9" t="str">
        <x:v>Operating Profit Margin</x:v>
      </x:c>
      <x:c r="C9" s="9" t="str">
        <x:v>POPULATED</x:v>
      </x:c>
      <x:c r="D9" s="9" t="str">
        <x:v>POPULATED</x:v>
      </x:c>
      <x:c r="E9" s="9" t="str">
        <x:v>POPULATED</x:v>
      </x:c>
      <x:c r="F9" s="9" t="str">
        <x:v>YES</x:v>
      </x:c>
      <x:c r="G9" s="18" t="str">
        <x:v>PASS</x:v>
      </x:c>
    </x:row>
    <x:row r="10">
      <x:c r="A10" s="9" t="n">
        <x:v>9</x:v>
      </x:c>
      <x:c r="B10" s="9" t="str">
        <x:v>Net Profit Margin</x:v>
      </x:c>
      <x:c r="C10" s="9" t="str">
        <x:v>POPULATED</x:v>
      </x:c>
      <x:c r="D10" s="9" t="str">
        <x:v>POPULATED</x:v>
      </x:c>
      <x:c r="E10" s="9" t="str">
        <x:v>POPULATED</x:v>
      </x:c>
      <x:c r="F10" s="9" t="str">
        <x:v>YES</x:v>
      </x:c>
      <x:c r="G10" s="18" t="str">
        <x:v>PASS</x:v>
      </x:c>
    </x:row>
    <x:row r="11">
      <x:c r="A11" s="9" t="n">
        <x:v>10</x:v>
      </x:c>
      <x:c r="B11" s="9" t="str">
        <x:v>EBITDA Margin</x:v>
      </x:c>
      <x:c r="C11" s="9" t="str">
        <x:v>POPULATED</x:v>
      </x:c>
      <x:c r="D11" s="9" t="str">
        <x:v>POPULATED</x:v>
      </x:c>
      <x:c r="E11" s="9" t="str">
        <x:v>POPULATED</x:v>
      </x:c>
      <x:c r="F11" s="9" t="str">
        <x:v>YES</x:v>
      </x:c>
      <x:c r="G11" s="18" t="str">
        <x:v>PASS</x:v>
      </x:c>
    </x:row>
    <x:row r="12">
      <x:c r="A12" s="9" t="n">
        <x:v>11</x:v>
      </x:c>
      <x:c r="B12" s="9" t="str">
        <x:v>Return on Assets (ROA)</x:v>
      </x:c>
      <x:c r="C12" s="9" t="str">
        <x:v>POPULATED</x:v>
      </x:c>
      <x:c r="D12" s="9" t="str">
        <x:v>POPULATED</x:v>
      </x:c>
      <x:c r="E12" s="9" t="str">
        <x:v>POPULATED</x:v>
      </x:c>
      <x:c r="F12" s="9" t="str">
        <x:v>YES</x:v>
      </x:c>
      <x:c r="G12" s="18" t="str">
        <x:v>PASS</x:v>
      </x:c>
    </x:row>
    <x:row r="13">
      <x:c r="A13" s="9" t="n">
        <x:v>12</x:v>
      </x:c>
      <x:c r="B13" s="9" t="str">
        <x:v>Return on Equity (ROE)</x:v>
      </x:c>
      <x:c r="C13" s="9" t="str">
        <x:v>POPULATED</x:v>
      </x:c>
      <x:c r="D13" s="9" t="str">
        <x:v>POPULATED</x:v>
      </x:c>
      <x:c r="E13" s="9" t="str">
        <x:v>POPULATED</x:v>
      </x:c>
      <x:c r="F13" s="9" t="str">
        <x:v>YES</x:v>
      </x:c>
      <x:c r="G13" s="18" t="str">
        <x:v>PASS</x:v>
      </x:c>
    </x:row>
    <x:row r="14">
      <x:c r="A14" s="9" t="n">
        <x:v>13</x:v>
      </x:c>
      <x:c r="B14" s="9" t="str">
        <x:v>Return on Invested Capital (ROIC)</x:v>
      </x:c>
      <x:c r="C14" s="9" t="str">
        <x:v>POPULATED</x:v>
      </x:c>
      <x:c r="D14" s="9" t="str">
        <x:v>POPULATED</x:v>
      </x:c>
      <x:c r="E14" s="9" t="str">
        <x:v>POPULATED</x:v>
      </x:c>
      <x:c r="F14" s="9" t="str">
        <x:v>YES</x:v>
      </x:c>
      <x:c r="G14" s="18" t="str">
        <x:v>PASS</x:v>
      </x:c>
    </x:row>
    <x:row r="15">
      <x:c r="A15" s="9" t="n">
        <x:v>14</x:v>
      </x:c>
      <x:c r="B15" s="9" t="str">
        <x:v>Return on Capital Employed (ROCE)</x:v>
      </x:c>
      <x:c r="C15" s="9" t="str">
        <x:v>POPULATED</x:v>
      </x:c>
      <x:c r="D15" s="9" t="str">
        <x:v>POPULATED</x:v>
      </x:c>
      <x:c r="E15" s="9" t="str">
        <x:v>POPULATED</x:v>
      </x:c>
      <x:c r="F15" s="9" t="str">
        <x:v>YES</x:v>
      </x:c>
      <x:c r="G15" s="18" t="str">
        <x:v>PASS</x:v>
      </x:c>
    </x:row>
    <x:row r="16">
      <x:c r="A16" s="9" t="n">
        <x:v>15</x:v>
      </x:c>
      <x:c r="B16" s="9" t="str">
        <x:v>Return on Sales (ROS)</x:v>
      </x:c>
      <x:c r="C16" s="9" t="str">
        <x:v>POPULATED</x:v>
      </x:c>
      <x:c r="D16" s="9" t="str">
        <x:v>POPULATED</x:v>
      </x:c>
      <x:c r="E16" s="9" t="str">
        <x:v>POPULATED</x:v>
      </x:c>
      <x:c r="F16" s="9" t="str">
        <x:v>YES</x:v>
      </x:c>
      <x:c r="G16" s="18" t="str">
        <x:v>PASS</x:v>
      </x:c>
    </x:row>
    <x:row r="17">
      <x:c r="A17" s="9" t="n">
        <x:v>16</x:v>
      </x:c>
      <x:c r="B17" s="9" t="str">
        <x:v>Contribution Margin</x:v>
      </x:c>
      <x:c r="C17" s="9" t="str">
        <x:v>POPULATED</x:v>
      </x:c>
      <x:c r="D17" s="9" t="str">
        <x:v>POPULATED</x:v>
      </x:c>
      <x:c r="E17" s="9" t="str">
        <x:v>POPULATED</x:v>
      </x:c>
      <x:c r="F17" s="9" t="str">
        <x:v>YES</x:v>
      </x:c>
      <x:c r="G17" s="18" t="str">
        <x:v>PASS</x:v>
      </x:c>
    </x:row>
    <x:row r="18">
      <x:c r="A18" s="9" t="n">
        <x:v>17</x:v>
      </x:c>
      <x:c r="B18" s="9" t="str">
        <x:v>Asset Turnover Ratio</x:v>
      </x:c>
      <x:c r="C18" s="9" t="str">
        <x:v>POPULATED</x:v>
      </x:c>
      <x:c r="D18" s="9" t="str">
        <x:v>POPULATED</x:v>
      </x:c>
      <x:c r="E18" s="9" t="str">
        <x:v>POPULATED</x:v>
      </x:c>
      <x:c r="F18" s="9" t="str">
        <x:v>YES</x:v>
      </x:c>
      <x:c r="G18" s="18" t="str">
        <x:v>PASS</x:v>
      </x:c>
    </x:row>
    <x:row r="19">
      <x:c r="A19" s="9" t="n">
        <x:v>18</x:v>
      </x:c>
      <x:c r="B19" s="9" t="str">
        <x:v>Fixed Asset Turnover</x:v>
      </x:c>
      <x:c r="C19" s="9" t="str">
        <x:v>POPULATED</x:v>
      </x:c>
      <x:c r="D19" s="9" t="str">
        <x:v>POPULATED</x:v>
      </x:c>
      <x:c r="E19" s="9" t="str">
        <x:v>POPULATED</x:v>
      </x:c>
      <x:c r="F19" s="9" t="str">
        <x:v>YES</x:v>
      </x:c>
      <x:c r="G19" s="18" t="str">
        <x:v>PASS</x:v>
      </x:c>
    </x:row>
    <x:row r="20">
      <x:c r="A20" s="9" t="n">
        <x:v>19</x:v>
      </x:c>
      <x:c r="B20" s="9" t="str">
        <x:v>Inventory Turnover</x:v>
      </x:c>
      <x:c r="C20" s="9" t="str">
        <x:v>POPULATED</x:v>
      </x:c>
      <x:c r="D20" s="9" t="str">
        <x:v>POPULATED</x:v>
      </x:c>
      <x:c r="E20" s="9" t="str">
        <x:v>POPULATED</x:v>
      </x:c>
      <x:c r="F20" s="9" t="str">
        <x:v>YES</x:v>
      </x:c>
      <x:c r="G20" s="18" t="str">
        <x:v>PASS</x:v>
      </x:c>
    </x:row>
    <x:row r="21">
      <x:c r="A21" s="9" t="n">
        <x:v>20</x:v>
      </x:c>
      <x:c r="B21" s="9" t="str">
        <x:v>Days Inventory Outstanding (DIO)</x:v>
      </x:c>
      <x:c r="C21" s="9" t="str">
        <x:v>POPULATED</x:v>
      </x:c>
      <x:c r="D21" s="9" t="str">
        <x:v>POPULATED</x:v>
      </x:c>
      <x:c r="E21" s="9" t="str">
        <x:v>POPULATED</x:v>
      </x:c>
      <x:c r="F21" s="9" t="str">
        <x:v>YES</x:v>
      </x:c>
      <x:c r="G21" s="18" t="str">
        <x:v>PASS</x:v>
      </x:c>
    </x:row>
    <x:row r="22">
      <x:c r="A22" s="9" t="n">
        <x:v>21</x:v>
      </x:c>
      <x:c r="B22" s="9" t="str">
        <x:v>Receivables Turnover</x:v>
      </x:c>
      <x:c r="C22" s="9" t="str">
        <x:v>POPULATED</x:v>
      </x:c>
      <x:c r="D22" s="9" t="str">
        <x:v>POPULATED</x:v>
      </x:c>
      <x:c r="E22" s="9" t="str">
        <x:v>POPULATED</x:v>
      </x:c>
      <x:c r="F22" s="9" t="str">
        <x:v>YES</x:v>
      </x:c>
      <x:c r="G22" s="18" t="str">
        <x:v>PASS</x:v>
      </x:c>
    </x:row>
    <x:row r="23">
      <x:c r="A23" s="9" t="n">
        <x:v>22</x:v>
      </x:c>
      <x:c r="B23" s="9" t="str">
        <x:v>Days Sales Outstanding (DSO)</x:v>
      </x:c>
      <x:c r="C23" s="9" t="str">
        <x:v>POPULATED</x:v>
      </x:c>
      <x:c r="D23" s="9" t="str">
        <x:v>POPULATED</x:v>
      </x:c>
      <x:c r="E23" s="9" t="str">
        <x:v>POPULATED</x:v>
      </x:c>
      <x:c r="F23" s="9" t="str">
        <x:v>YES</x:v>
      </x:c>
      <x:c r="G23" s="18" t="str">
        <x:v>PASS</x:v>
      </x:c>
    </x:row>
    <x:row r="24">
      <x:c r="A24" s="9" t="n">
        <x:v>23</x:v>
      </x:c>
      <x:c r="B24" s="9" t="str">
        <x:v>Payables Turnover</x:v>
      </x:c>
      <x:c r="C24" s="9" t="str">
        <x:v>POPULATED</x:v>
      </x:c>
      <x:c r="D24" s="9" t="str">
        <x:v>POPULATED</x:v>
      </x:c>
      <x:c r="E24" s="9" t="str">
        <x:v>POPULATED</x:v>
      </x:c>
      <x:c r="F24" s="9" t="str">
        <x:v>YES</x:v>
      </x:c>
      <x:c r="G24" s="18" t="str">
        <x:v>PASS</x:v>
      </x:c>
    </x:row>
    <x:row r="25">
      <x:c r="A25" s="9" t="n">
        <x:v>24</x:v>
      </x:c>
      <x:c r="B25" s="9" t="str">
        <x:v>Days Payable Outstanding (DPO)</x:v>
      </x:c>
      <x:c r="C25" s="9" t="str">
        <x:v>POPULATED</x:v>
      </x:c>
      <x:c r="D25" s="9" t="str">
        <x:v>POPULATED</x:v>
      </x:c>
      <x:c r="E25" s="9" t="str">
        <x:v>POPULATED</x:v>
      </x:c>
      <x:c r="F25" s="9" t="str">
        <x:v>YES</x:v>
      </x:c>
      <x:c r="G25" s="18" t="str">
        <x:v>PASS</x:v>
      </x:c>
    </x:row>
    <x:row r="26">
      <x:c r="A26" s="9" t="n">
        <x:v>25</x:v>
      </x:c>
      <x:c r="B26" s="9" t="str">
        <x:v>Cash Conversion Cycle (CCC)</x:v>
      </x:c>
      <x:c r="C26" s="9" t="str">
        <x:v>POPULATED</x:v>
      </x:c>
      <x:c r="D26" s="9" t="str">
        <x:v>POPULATED</x:v>
      </x:c>
      <x:c r="E26" s="9" t="str">
        <x:v>POPULATED</x:v>
      </x:c>
      <x:c r="F26" s="9" t="str">
        <x:v>YES</x:v>
      </x:c>
      <x:c r="G26" s="18" t="str">
        <x:v>PASS</x:v>
      </x:c>
    </x:row>
    <x:row r="27">
      <x:c r="A27" s="9" t="n">
        <x:v>26</x:v>
      </x:c>
      <x:c r="B27" s="9" t="str">
        <x:v>Debt Ratio (Total Liabilities to Total Assets)</x:v>
      </x:c>
      <x:c r="C27" s="9" t="str">
        <x:v>POPULATED</x:v>
      </x:c>
      <x:c r="D27" s="9" t="str">
        <x:v>POPULATED</x:v>
      </x:c>
      <x:c r="E27" s="9" t="str">
        <x:v>POPULATED</x:v>
      </x:c>
      <x:c r="F27" s="9" t="str">
        <x:v>YES</x:v>
      </x:c>
      <x:c r="G27" s="18" t="str">
        <x:v>PASS</x:v>
      </x:c>
    </x:row>
    <x:row r="28">
      <x:c r="A28" s="9" t="n">
        <x:v>27</x:v>
      </x:c>
      <x:c r="B28" s="9" t="str">
        <x:v>Debt-to-Equity</x:v>
      </x:c>
      <x:c r="C28" s="9" t="str">
        <x:v>POPULATED</x:v>
      </x:c>
      <x:c r="D28" s="9" t="str">
        <x:v>POPULATED</x:v>
      </x:c>
      <x:c r="E28" s="9" t="str">
        <x:v>POPULATED</x:v>
      </x:c>
      <x:c r="F28" s="9" t="str">
        <x:v>YES</x:v>
      </x:c>
      <x:c r="G28" s="18" t="str">
        <x:v>PASS</x:v>
      </x:c>
    </x:row>
    <x:row r="29">
      <x:c r="A29" s="9" t="n">
        <x:v>28</x:v>
      </x:c>
      <x:c r="B29" s="9" t="str">
        <x:v>Debt-to-Assets</x:v>
      </x:c>
      <x:c r="C29" s="9" t="str">
        <x:v>POPULATED</x:v>
      </x:c>
      <x:c r="D29" s="9" t="str">
        <x:v>POPULATED</x:v>
      </x:c>
      <x:c r="E29" s="9" t="str">
        <x:v>POPULATED</x:v>
      </x:c>
      <x:c r="F29" s="9" t="str">
        <x:v>YES</x:v>
      </x:c>
      <x:c r="G29" s="18" t="str">
        <x:v>PASS</x:v>
      </x:c>
    </x:row>
    <x:row r="30">
      <x:c r="A30" s="9" t="n">
        <x:v>29</x:v>
      </x:c>
      <x:c r="B30" s="9" t="str">
        <x:v>Debt-to-EBITDA</x:v>
      </x:c>
      <x:c r="C30" s="9" t="str">
        <x:v>POPULATED</x:v>
      </x:c>
      <x:c r="D30" s="9" t="str">
        <x:v>POPULATED</x:v>
      </x:c>
      <x:c r="E30" s="9" t="str">
        <x:v>POPULATED</x:v>
      </x:c>
      <x:c r="F30" s="9" t="str">
        <x:v>YES</x:v>
      </x:c>
      <x:c r="G30" s="18" t="str">
        <x:v>PASS</x:v>
      </x:c>
    </x:row>
    <x:row r="31">
      <x:c r="A31" s="9" t="n">
        <x:v>30</x:v>
      </x:c>
      <x:c r="B31" s="9" t="str">
        <x:v>Net Debt-to-EBITDA</x:v>
      </x:c>
      <x:c r="C31" s="9" t="str">
        <x:v>POPULATED</x:v>
      </x:c>
      <x:c r="D31" s="9" t="str">
        <x:v>POPULATED</x:v>
      </x:c>
      <x:c r="E31" s="9" t="str">
        <x:v>POPULATED</x:v>
      </x:c>
      <x:c r="F31" s="9" t="str">
        <x:v>YES</x:v>
      </x:c>
      <x:c r="G31" s="18" t="str">
        <x:v>PASS</x:v>
      </x:c>
    </x:row>
    <x:row r="32">
      <x:c r="A32" s="9" t="n">
        <x:v>31</x:v>
      </x:c>
      <x:c r="B32" s="9" t="str">
        <x:v>Interest Coverage Ratio</x:v>
      </x:c>
      <x:c r="C32" s="9" t="str">
        <x:v>POPULATED</x:v>
      </x:c>
      <x:c r="D32" s="9" t="str">
        <x:v>POPULATED</x:v>
      </x:c>
      <x:c r="E32" s="9" t="str">
        <x:v>POPULATED</x:v>
      </x:c>
      <x:c r="F32" s="9" t="str">
        <x:v>YES</x:v>
      </x:c>
      <x:c r="G32" s="18" t="str">
        <x:v>PASS</x:v>
      </x:c>
    </x:row>
    <x:row r="33">
      <x:c r="A33" s="9" t="n">
        <x:v>32</x:v>
      </x:c>
      <x:c r="B33" s="9" t="str">
        <x:v>Debt Service Coverage Ratio (DSCR)</x:v>
      </x:c>
      <x:c r="C33" s="9" t="str">
        <x:v>POPULATED</x:v>
      </x:c>
      <x:c r="D33" s="9" t="str">
        <x:v>POPULATED</x:v>
      </x:c>
      <x:c r="E33" s="9" t="str">
        <x:v>POPULATED</x:v>
      </x:c>
      <x:c r="F33" s="9" t="str">
        <x:v>YES</x:v>
      </x:c>
      <x:c r="G33" s="18" t="str">
        <x:v>PASS</x:v>
      </x:c>
    </x:row>
    <x:row r="34">
      <x:c r="A34" s="9" t="n">
        <x:v>33</x:v>
      </x:c>
      <x:c r="B34" s="9" t="str">
        <x:v>Equity Multiplier</x:v>
      </x:c>
      <x:c r="C34" s="9" t="str">
        <x:v>POPULATED</x:v>
      </x:c>
      <x:c r="D34" s="9" t="str">
        <x:v>POPULATED</x:v>
      </x:c>
      <x:c r="E34" s="9" t="str">
        <x:v>POPULATED</x:v>
      </x:c>
      <x:c r="F34" s="9" t="str">
        <x:v>YES</x:v>
      </x:c>
      <x:c r="G34" s="18" t="str">
        <x:v>PASS</x:v>
      </x:c>
    </x:row>
    <x:row r="35">
      <x:c r="A35" s="9" t="n">
        <x:v>34</x:v>
      </x:c>
      <x:c r="B35" s="9" t="str">
        <x:v>Fixed Charge Coverage Ratio</x:v>
      </x:c>
      <x:c r="C35" s="9" t="str">
        <x:v>POPULATED</x:v>
      </x:c>
      <x:c r="D35" s="9" t="str">
        <x:v>POPULATED</x:v>
      </x:c>
      <x:c r="E35" s="9" t="str">
        <x:v>POPULATED</x:v>
      </x:c>
      <x:c r="F35" s="9" t="str">
        <x:v>YES</x:v>
      </x:c>
      <x:c r="G35" s="18" t="str">
        <x:v>PASS</x:v>
      </x:c>
    </x:row>
    <x:row r="36">
      <x:c r="A36" s="9" t="n">
        <x:v>35</x:v>
      </x:c>
      <x:c r="B36" s="9" t="str">
        <x:v>Price-to-Earnings (P/E)</x:v>
      </x:c>
      <x:c r="C36" s="9" t="str">
        <x:v>POPULATED</x:v>
      </x:c>
      <x:c r="D36" s="9" t="str">
        <x:v>POPULATED</x:v>
      </x:c>
      <x:c r="E36" s="9" t="str">
        <x:v>POPULATED</x:v>
      </x:c>
      <x:c r="F36" s="9" t="str">
        <x:v>YES</x:v>
      </x:c>
      <x:c r="G36" s="18" t="str">
        <x:v>PASS</x:v>
      </x:c>
    </x:row>
    <x:row r="37">
      <x:c r="A37" s="9" t="n">
        <x:v>36</x:v>
      </x:c>
      <x:c r="B37" s="9" t="str">
        <x:v>Price-to-Book (P/B)</x:v>
      </x:c>
      <x:c r="C37" s="9" t="str">
        <x:v>POPULATED</x:v>
      </x:c>
      <x:c r="D37" s="9" t="str">
        <x:v>POPULATED</x:v>
      </x:c>
      <x:c r="E37" s="9" t="str">
        <x:v>POPULATED</x:v>
      </x:c>
      <x:c r="F37" s="9" t="str">
        <x:v>YES</x:v>
      </x:c>
      <x:c r="G37" s="18" t="str">
        <x:v>PASS</x:v>
      </x:c>
    </x:row>
    <x:row r="38">
      <x:c r="A38" s="9" t="n">
        <x:v>37</x:v>
      </x:c>
      <x:c r="B38" s="9" t="str">
        <x:v>Price-to-Sales (P/S)</x:v>
      </x:c>
      <x:c r="C38" s="9" t="str">
        <x:v>POPULATED</x:v>
      </x:c>
      <x:c r="D38" s="9" t="str">
        <x:v>POPULATED</x:v>
      </x:c>
      <x:c r="E38" s="9" t="str">
        <x:v>POPULATED</x:v>
      </x:c>
      <x:c r="F38" s="9" t="str">
        <x:v>YES</x:v>
      </x:c>
      <x:c r="G38" s="18" t="str">
        <x:v>PASS</x:v>
      </x:c>
    </x:row>
    <x:row r="39">
      <x:c r="A39" s="9" t="n">
        <x:v>38</x:v>
      </x:c>
      <x:c r="B39" s="9" t="str">
        <x:v>EV/EBITDA</x:v>
      </x:c>
      <x:c r="C39" s="9" t="str">
        <x:v>POPULATED</x:v>
      </x:c>
      <x:c r="D39" s="9" t="str">
        <x:v>POPULATED</x:v>
      </x:c>
      <x:c r="E39" s="9" t="str">
        <x:v>POPULATED</x:v>
      </x:c>
      <x:c r="F39" s="9" t="str">
        <x:v>YES</x:v>
      </x:c>
      <x:c r="G39" s="18" t="str">
        <x:v>PASS</x:v>
      </x:c>
    </x:row>
    <x:row r="40">
      <x:c r="A40" s="9" t="n">
        <x:v>39</x:v>
      </x:c>
      <x:c r="B40" s="9" t="str">
        <x:v>EV/Revenue</x:v>
      </x:c>
      <x:c r="C40" s="9" t="str">
        <x:v>POPULATED</x:v>
      </x:c>
      <x:c r="D40" s="9" t="str">
        <x:v>POPULATED</x:v>
      </x:c>
      <x:c r="E40" s="9" t="str">
        <x:v>POPULATED</x:v>
      </x:c>
      <x:c r="F40" s="9" t="str">
        <x:v>YES</x:v>
      </x:c>
      <x:c r="G40" s="18" t="str">
        <x:v>PASS</x:v>
      </x:c>
    </x:row>
    <x:row r="41">
      <x:c r="A41" s="9" t="n">
        <x:v>40</x:v>
      </x:c>
      <x:c r="B41" s="9" t="str">
        <x:v>Earnings Per Share (EPS)</x:v>
      </x:c>
      <x:c r="C41" s="9" t="str">
        <x:v>POPULATED</x:v>
      </x:c>
      <x:c r="D41" s="9" t="str">
        <x:v>POPULATED</x:v>
      </x:c>
      <x:c r="E41" s="9" t="str">
        <x:v>POPULATED</x:v>
      </x:c>
      <x:c r="F41" s="9" t="str">
        <x:v>YES</x:v>
      </x:c>
      <x:c r="G41" s="18" t="str">
        <x:v>PASS</x:v>
      </x:c>
    </x:row>
    <x:row r="42">
      <x:c r="A42" s="9" t="n">
        <x:v>41</x:v>
      </x:c>
      <x:c r="B42" s="9" t="str">
        <x:v>Dividend Yield</x:v>
      </x:c>
      <x:c r="C42" s="9" t="str">
        <x:v>POPULATED</x:v>
      </x:c>
      <x:c r="D42" s="9" t="str">
        <x:v>POPULATED</x:v>
      </x:c>
      <x:c r="E42" s="9" t="str">
        <x:v>POPULATED</x:v>
      </x:c>
      <x:c r="F42" s="9" t="str">
        <x:v>YES</x:v>
      </x:c>
      <x:c r="G42" s="18" t="str">
        <x:v>PASS</x:v>
      </x:c>
    </x:row>
    <x:row r="43">
      <x:c r="A43" s="9" t="n">
        <x:v>42</x:v>
      </x:c>
      <x:c r="B43" s="9" t="str">
        <x:v>Dividend Payout Ratio</x:v>
      </x:c>
      <x:c r="C43" s="9" t="str">
        <x:v>POPULATED</x:v>
      </x:c>
      <x:c r="D43" s="9" t="str">
        <x:v>POPULATED</x:v>
      </x:c>
      <x:c r="E43" s="9" t="str">
        <x:v>POPULATED</x:v>
      </x:c>
      <x:c r="F43" s="9" t="str">
        <x:v>YES</x:v>
      </x:c>
      <x:c r="G43" s="18" t="str">
        <x:v>PASS</x:v>
      </x:c>
    </x:row>
    <x:row r="44">
      <x:c r="A44" s="9" t="n">
        <x:v>43</x:v>
      </x:c>
      <x:c r="B44" s="9" t="str">
        <x:v>Revenue Growth Rate</x:v>
      </x:c>
      <x:c r="C44" s="9" t="str">
        <x:v>POPULATED</x:v>
      </x:c>
      <x:c r="D44" s="9" t="str">
        <x:v>POPULATED</x:v>
      </x:c>
      <x:c r="E44" s="9" t="str">
        <x:v>POPULATED</x:v>
      </x:c>
      <x:c r="F44" s="9" t="str">
        <x:v>YES</x:v>
      </x:c>
      <x:c r="G44" s="18" t="str">
        <x:v>PASS</x:v>
      </x:c>
    </x:row>
    <x:row r="45">
      <x:c r="A45" s="9" t="n">
        <x:v>44</x:v>
      </x:c>
      <x:c r="B45" s="9" t="str">
        <x:v>CAGR from 2023 Base</x:v>
      </x:c>
      <x:c r="C45" s="9" t="str">
        <x:v>POPULATED</x:v>
      </x:c>
      <x:c r="D45" s="9" t="str">
        <x:v>POPULATED</x:v>
      </x:c>
      <x:c r="E45" s="9" t="str">
        <x:v>POPULATED</x:v>
      </x:c>
      <x:c r="F45" s="9" t="str">
        <x:v>YES</x:v>
      </x:c>
      <x:c r="G45" s="18" t="str">
        <x:v>PASS</x:v>
      </x:c>
    </x:row>
    <x:row r="46">
      <x:c r="A46" s="9" t="n">
        <x:v>45</x:v>
      </x:c>
      <x:c r="B46" s="9" t="str">
        <x:v>Organic Growth Rate</x:v>
      </x:c>
      <x:c r="C46" s="9" t="str">
        <x:v>POPULATED</x:v>
      </x:c>
      <x:c r="D46" s="9" t="str">
        <x:v>POPULATED</x:v>
      </x:c>
      <x:c r="E46" s="9" t="str">
        <x:v>POPULATED</x:v>
      </x:c>
      <x:c r="F46" s="9" t="str">
        <x:v>YES</x:v>
      </x:c>
      <x:c r="G46" s="18" t="str">
        <x:v>PASS</x:v>
      </x:c>
    </x:row>
    <x:row r="47">
      <x:c r="A47" s="9" t="n">
        <x:v>46</x:v>
      </x:c>
      <x:c r="B47" s="9" t="str">
        <x:v>EBITDA Growth Rate</x:v>
      </x:c>
      <x:c r="C47" s="9" t="str">
        <x:v>POPULATED</x:v>
      </x:c>
      <x:c r="D47" s="9" t="str">
        <x:v>POPULATED</x:v>
      </x:c>
      <x:c r="E47" s="9" t="str">
        <x:v>POPULATED</x:v>
      </x:c>
      <x:c r="F47" s="9" t="str">
        <x:v>YES</x:v>
      </x:c>
      <x:c r="G47" s="18" t="str">
        <x:v>PASS</x:v>
      </x:c>
    </x:row>
    <x:row r="48">
      <x:c r="A48" s="9" t="n">
        <x:v>47</x:v>
      </x:c>
      <x:c r="B48" s="9" t="str">
        <x:v>Free Cash Flow (FCF)</x:v>
      </x:c>
      <x:c r="C48" s="9" t="str">
        <x:v>POPULATED</x:v>
      </x:c>
      <x:c r="D48" s="9" t="str">
        <x:v>POPULATED</x:v>
      </x:c>
      <x:c r="E48" s="9" t="str">
        <x:v>POPULATED</x:v>
      </x:c>
      <x:c r="F48" s="9" t="str">
        <x:v>YES</x:v>
      </x:c>
      <x:c r="G48" s="18" t="str">
        <x:v>PASS</x:v>
      </x:c>
    </x:row>
    <x:row r="49">
      <x:c r="A49" s="9" t="n">
        <x:v>48</x:v>
      </x:c>
      <x:c r="B49" s="9" t="str">
        <x:v>Free Cash Flow Margin</x:v>
      </x:c>
      <x:c r="C49" s="9" t="str">
        <x:v>POPULATED</x:v>
      </x:c>
      <x:c r="D49" s="9" t="str">
        <x:v>POPULATED</x:v>
      </x:c>
      <x:c r="E49" s="9" t="str">
        <x:v>POPULATED</x:v>
      </x:c>
      <x:c r="F49" s="9" t="str">
        <x:v>YES</x:v>
      </x:c>
      <x:c r="G49" s="18" t="str">
        <x:v>PASS</x:v>
      </x:c>
    </x:row>
    <x:row r="50">
      <x:c r="A50" s="9" t="n">
        <x:v>49</x:v>
      </x:c>
      <x:c r="B50" s="9" t="str">
        <x:v>Free Cash Flow to Equity (FCFE)</x:v>
      </x:c>
      <x:c r="C50" s="9" t="str">
        <x:v>POPULATED</x:v>
      </x:c>
      <x:c r="D50" s="9" t="str">
        <x:v>POPULATED</x:v>
      </x:c>
      <x:c r="E50" s="9" t="str">
        <x:v>POPULATED</x:v>
      </x:c>
      <x:c r="F50" s="9" t="str">
        <x:v>YES</x:v>
      </x:c>
      <x:c r="G50" s="18" t="str">
        <x:v>PASS</x:v>
      </x:c>
    </x:row>
    <x:row r="51">
      <x:c r="A51" s="9" t="n">
        <x:v>50</x:v>
      </x:c>
      <x:c r="B51" s="9" t="str">
        <x:v>Operating Cash Flow Ratio</x:v>
      </x:c>
      <x:c r="C51" s="9" t="str">
        <x:v>POPULATED</x:v>
      </x:c>
      <x:c r="D51" s="9" t="str">
        <x:v>POPULATED</x:v>
      </x:c>
      <x:c r="E51" s="9" t="str">
        <x:v>POPULATED</x:v>
      </x:c>
      <x:c r="F51" s="9" t="str">
        <x:v>YES</x:v>
      </x:c>
      <x:c r="G51" s="18" t="str">
        <x:v>PASS</x:v>
      </x:c>
    </x:row>
    <x:row r="52">
      <x:c r="A52" s="9" t="n">
        <x:v>51</x:v>
      </x:c>
      <x:c r="B52" s="9" t="str">
        <x:v>Cash Flow Coverage Ratio</x:v>
      </x:c>
      <x:c r="C52" s="9" t="str">
        <x:v>POPULATED</x:v>
      </x:c>
      <x:c r="D52" s="9" t="str">
        <x:v>POPULATED</x:v>
      </x:c>
      <x:c r="E52" s="9" t="str">
        <x:v>POPULATED</x:v>
      </x:c>
      <x:c r="F52" s="9" t="str">
        <x:v>YES</x:v>
      </x:c>
      <x:c r="G52" s="18" t="str">
        <x:v>PASS</x:v>
      </x:c>
    </x:row>
    <x:row r="53">
      <x:c r="A53" s="9" t="n">
        <x:v>52</x:v>
      </x:c>
      <x:c r="B53" s="9" t="str">
        <x:v>Cash Conversion Ratio</x:v>
      </x:c>
      <x:c r="C53" s="9" t="str">
        <x:v>POPULATED</x:v>
      </x:c>
      <x:c r="D53" s="9" t="str">
        <x:v>POPULATED</x:v>
      </x:c>
      <x:c r="E53" s="9" t="str">
        <x:v>POPULATED</x:v>
      </x:c>
      <x:c r="F53" s="9" t="str">
        <x:v>YES</x:v>
      </x:c>
      <x:c r="G53" s="18" t="str">
        <x:v>PASS</x:v>
      </x:c>
    </x:row>
    <x:row r="54">
      <x:c r="A54" s="9" t="n">
        <x:v>53</x:v>
      </x:c>
      <x:c r="B54" s="9" t="str">
        <x:v>Cash Burn Rate</x:v>
      </x:c>
      <x:c r="C54" s="9" t="str">
        <x:v>POPULATED</x:v>
      </x:c>
      <x:c r="D54" s="9" t="str">
        <x:v>POPULATED</x:v>
      </x:c>
      <x:c r="E54" s="9" t="str">
        <x:v>POPULATED</x:v>
      </x:c>
      <x:c r="F54" s="9" t="str">
        <x:v>YES</x:v>
      </x:c>
      <x:c r="G54" s="18" t="str">
        <x:v>PASS</x:v>
      </x:c>
    </x:row>
    <x:row r="55">
      <x:c r="A55" s="9" t="n">
        <x:v>54</x:v>
      </x:c>
      <x:c r="B55" s="9" t="str">
        <x:v>Net Working Capital</x:v>
      </x:c>
      <x:c r="C55" s="9" t="str">
        <x:v>POPULATED</x:v>
      </x:c>
      <x:c r="D55" s="9" t="str">
        <x:v>POPULATED</x:v>
      </x:c>
      <x:c r="E55" s="9" t="str">
        <x:v>POPULATED</x:v>
      </x:c>
      <x:c r="F55" s="9" t="str">
        <x:v>YES</x:v>
      </x:c>
      <x:c r="G55" s="18" t="str">
        <x:v>PASS</x:v>
      </x:c>
    </x:row>
    <x:row r="56">
      <x:c r="A56" s="9" t="n">
        <x:v>55</x:v>
      </x:c>
      <x:c r="B56" s="9" t="str">
        <x:v>Working Capital Turnover</x:v>
      </x:c>
      <x:c r="C56" s="9" t="str">
        <x:v>POPULATED</x:v>
      </x:c>
      <x:c r="D56" s="9" t="str">
        <x:v>POPULATED</x:v>
      </x:c>
      <x:c r="E56" s="9" t="str">
        <x:v>POPULATED</x:v>
      </x:c>
      <x:c r="F56" s="9" t="str">
        <x:v>YES</x:v>
      </x:c>
      <x:c r="G56" s="18" t="str">
        <x:v>PASS</x:v>
      </x:c>
    </x:row>
    <x:row r="57">
      <x:c r="A57" s="9" t="n">
        <x:v>56</x:v>
      </x:c>
      <x:c r="B57" s="9" t="str">
        <x:v>CapEx to Revenue Ratio</x:v>
      </x:c>
      <x:c r="C57" s="9" t="str">
        <x:v>POPULATED</x:v>
      </x:c>
      <x:c r="D57" s="9" t="str">
        <x:v>POPULATED</x:v>
      </x:c>
      <x:c r="E57" s="9" t="str">
        <x:v>POPULATED</x:v>
      </x:c>
      <x:c r="F57" s="9" t="str">
        <x:v>YES</x:v>
      </x:c>
      <x:c r="G57" s="18" t="str">
        <x:v>PASS</x:v>
      </x:c>
    </x:row>
    <x:row r="58">
      <x:c r="A58" s="9" t="n">
        <x:v>57</x:v>
      </x:c>
      <x:c r="B58" s="9" t="str">
        <x:v>CapEx to Depreciation Ratio</x:v>
      </x:c>
      <x:c r="C58" s="9" t="str">
        <x:v>POPULATED</x:v>
      </x:c>
      <x:c r="D58" s="9" t="str">
        <x:v>POPULATED</x:v>
      </x:c>
      <x:c r="E58" s="9" t="str">
        <x:v>POPULATED</x:v>
      </x:c>
      <x:c r="F58" s="9" t="str">
        <x:v>YES</x:v>
      </x:c>
      <x:c r="G58" s="18" t="str">
        <x:v>PASS</x:v>
      </x:c>
    </x:row>
    <x:row r="59">
      <x:c r="A59" s="9" t="n">
        <x:v>58</x:v>
      </x:c>
      <x:c r="B59" s="9" t="str">
        <x:v>Asset Utilization Ratio</x:v>
      </x:c>
      <x:c r="C59" s="9" t="str">
        <x:v>POPULATED</x:v>
      </x:c>
      <x:c r="D59" s="9" t="str">
        <x:v>POPULATED</x:v>
      </x:c>
      <x:c r="E59" s="9" t="str">
        <x:v>POPULATED</x:v>
      </x:c>
      <x:c r="F59" s="9" t="str">
        <x:v>YES</x:v>
      </x:c>
      <x:c r="G59" s="18" t="str">
        <x:v>PASS</x:v>
      </x:c>
    </x:row>
    <x:row r="60">
      <x:c r="A60" s="9" t="n">
        <x:v>59</x:v>
      </x:c>
      <x:c r="B60" s="9" t="str">
        <x:v>Operating Expense Ratio</x:v>
      </x:c>
      <x:c r="C60" s="9" t="str">
        <x:v>POPULATED</x:v>
      </x:c>
      <x:c r="D60" s="9" t="str">
        <x:v>POPULATED</x:v>
      </x:c>
      <x:c r="E60" s="9" t="str">
        <x:v>POPULATED</x:v>
      </x:c>
      <x:c r="F60" s="9" t="str">
        <x:v>YES</x:v>
      </x:c>
      <x:c r="G60" s="18" t="str">
        <x:v>PASS</x:v>
      </x:c>
    </x:row>
    <x:row r="61">
      <x:c r="A61" s="9" t="n">
        <x:v>60</x:v>
      </x:c>
      <x:c r="B61" s="9" t="str">
        <x:v>Cost-to-Income Ratio</x:v>
      </x:c>
      <x:c r="C61" s="9" t="str">
        <x:v>POPULATED</x:v>
      </x:c>
      <x:c r="D61" s="9" t="str">
        <x:v>POPULATED</x:v>
      </x:c>
      <x:c r="E61" s="9" t="str">
        <x:v>POPULATED</x:v>
      </x:c>
      <x:c r="F61" s="9" t="str">
        <x:v>YES</x:v>
      </x:c>
      <x:c r="G61" s="18" t="str">
        <x:v>PASS</x:v>
      </x:c>
    </x:row>
    <x:row r="62">
      <x:c r="A62" s="9" t="n">
        <x:v>61</x:v>
      </x:c>
      <x:c r="B62" s="9" t="str">
        <x:v>SG&amp;A Ratio</x:v>
      </x:c>
      <x:c r="C62" s="9" t="str">
        <x:v>POPULATED</x:v>
      </x:c>
      <x:c r="D62" s="9" t="str">
        <x:v>POPULATED</x:v>
      </x:c>
      <x:c r="E62" s="9" t="str">
        <x:v>POPULATED</x:v>
      </x:c>
      <x:c r="F62" s="9" t="str">
        <x:v>YES</x:v>
      </x:c>
      <x:c r="G62" s="18" t="str">
        <x:v>PASS</x:v>
      </x:c>
    </x:row>
    <x:row r="63">
      <x:c r="A63" s="9" t="n">
        <x:v>62</x:v>
      </x:c>
      <x:c r="B63" s="9" t="str">
        <x:v>Budget Variance</x:v>
      </x:c>
      <x:c r="C63" s="9" t="str">
        <x:v>POPULATED</x:v>
      </x:c>
      <x:c r="D63" s="9" t="str">
        <x:v>POPULATED</x:v>
      </x:c>
      <x:c r="E63" s="9" t="str">
        <x:v>POPULATED</x:v>
      </x:c>
      <x:c r="F63" s="9" t="str">
        <x:v>YES</x:v>
      </x:c>
      <x:c r="G63" s="18" t="str">
        <x:v>PASS</x:v>
      </x:c>
    </x:row>
    <x:row r="64">
      <x:c r="A64" s="9" t="n">
        <x:v>63</x:v>
      </x:c>
      <x:c r="B64" s="9" t="str">
        <x:v>Cost per Unit</x:v>
      </x:c>
      <x:c r="C64" s="9" t="str">
        <x:v>POPULATED</x:v>
      </x:c>
      <x:c r="D64" s="9" t="str">
        <x:v>POPULATED</x:v>
      </x:c>
      <x:c r="E64" s="9" t="str">
        <x:v>POPULATED</x:v>
      </x:c>
      <x:c r="F64" s="9" t="str">
        <x:v>YES</x:v>
      </x:c>
      <x:c r="G64" s="18" t="str">
        <x:v>PASS</x:v>
      </x:c>
    </x:row>
    <x:row r="65">
      <x:c r="A65" s="9" t="n">
        <x:v>64</x:v>
      </x:c>
      <x:c r="B65" s="9" t="str">
        <x:v>Monthly Recurring Revenue (MRR)</x:v>
      </x:c>
      <x:c r="C65" s="9" t="str">
        <x:v>POPULATED</x:v>
      </x:c>
      <x:c r="D65" s="9" t="str">
        <x:v>POPULATED</x:v>
      </x:c>
      <x:c r="E65" s="9" t="str">
        <x:v>POPULATED</x:v>
      </x:c>
      <x:c r="F65" s="9" t="str">
        <x:v>YES</x:v>
      </x:c>
      <x:c r="G65" s="18" t="str">
        <x:v>PASS</x:v>
      </x:c>
    </x:row>
    <x:row r="66">
      <x:c r="A66" s="9" t="n">
        <x:v>65</x:v>
      </x:c>
      <x:c r="B66" s="9" t="str">
        <x:v>Annual Recurring Revenue (ARR)</x:v>
      </x:c>
      <x:c r="C66" s="9" t="str">
        <x:v>POPULATED</x:v>
      </x:c>
      <x:c r="D66" s="9" t="str">
        <x:v>POPULATED</x:v>
      </x:c>
      <x:c r="E66" s="9" t="str">
        <x:v>POPULATED</x:v>
      </x:c>
      <x:c r="F66" s="9" t="str">
        <x:v>YES</x:v>
      </x:c>
      <x:c r="G66" s="18" t="str">
        <x:v>PASS</x:v>
      </x:c>
    </x:row>
    <x:row r="67">
      <x:c r="A67" s="9" t="n">
        <x:v>66</x:v>
      </x:c>
      <x:c r="B67" s="9" t="str">
        <x:v>Customer Acquisition Cost (CAC)</x:v>
      </x:c>
      <x:c r="C67" s="9" t="str">
        <x:v>POPULATED</x:v>
      </x:c>
      <x:c r="D67" s="9" t="str">
        <x:v>POPULATED</x:v>
      </x:c>
      <x:c r="E67" s="9" t="str">
        <x:v>POPULATED</x:v>
      </x:c>
      <x:c r="F67" s="9" t="str">
        <x:v>YES</x:v>
      </x:c>
      <x:c r="G67" s="18" t="str">
        <x:v>PASS</x:v>
      </x:c>
    </x:row>
    <x:row r="68">
      <x:c r="A68" s="9" t="n">
        <x:v>67</x:v>
      </x:c>
      <x:c r="B68" s="9" t="str">
        <x:v>Customer Lifetime Value (LTV)</x:v>
      </x:c>
      <x:c r="C68" s="9" t="str">
        <x:v>POPULATED</x:v>
      </x:c>
      <x:c r="D68" s="9" t="str">
        <x:v>POPULATED</x:v>
      </x:c>
      <x:c r="E68" s="9" t="str">
        <x:v>POPULATED</x:v>
      </x:c>
      <x:c r="F68" s="9" t="str">
        <x:v>YES</x:v>
      </x:c>
      <x:c r="G68" s="18" t="str">
        <x:v>PASS</x:v>
      </x:c>
    </x:row>
    <x:row r="69">
      <x:c r="A69" s="9" t="n">
        <x:v>68</x:v>
      </x:c>
      <x:c r="B69" s="9" t="str">
        <x:v>LTV:CAC Ratio</x:v>
      </x:c>
      <x:c r="C69" s="9" t="str">
        <x:v>POPULATED</x:v>
      </x:c>
      <x:c r="D69" s="9" t="str">
        <x:v>POPULATED</x:v>
      </x:c>
      <x:c r="E69" s="9" t="str">
        <x:v>POPULATED</x:v>
      </x:c>
      <x:c r="F69" s="9" t="str">
        <x:v>YES</x:v>
      </x:c>
      <x:c r="G69" s="18" t="str">
        <x:v>PASS</x:v>
      </x:c>
    </x:row>
    <x:row r="70">
      <x:c r="A70" s="9" t="n">
        <x:v>69</x:v>
      </x:c>
      <x:c r="B70" s="9" t="str">
        <x:v>CAC Payback Period</x:v>
      </x:c>
      <x:c r="C70" s="9" t="str">
        <x:v>POPULATED</x:v>
      </x:c>
      <x:c r="D70" s="9" t="str">
        <x:v>POPULATED</x:v>
      </x:c>
      <x:c r="E70" s="9" t="str">
        <x:v>POPULATED</x:v>
      </x:c>
      <x:c r="F70" s="9" t="str">
        <x:v>YES</x:v>
      </x:c>
      <x:c r="G70" s="18" t="str">
        <x:v>PASS</x:v>
      </x:c>
    </x:row>
    <x:row r="71">
      <x:c r="A71" s="9" t="n">
        <x:v>70</x:v>
      </x:c>
      <x:c r="B71" s="9" t="str">
        <x:v>Net Revenue Retention (NRR)</x:v>
      </x:c>
      <x:c r="C71" s="9" t="str">
        <x:v>POPULATED</x:v>
      </x:c>
      <x:c r="D71" s="9" t="str">
        <x:v>POPULATED</x:v>
      </x:c>
      <x:c r="E71" s="9" t="str">
        <x:v>POPULATED</x:v>
      </x:c>
      <x:c r="F71" s="9" t="str">
        <x:v>YES</x:v>
      </x:c>
      <x:c r="G71" s="18" t="str">
        <x:v>PASS</x:v>
      </x:c>
    </x:row>
    <x:row r="72">
      <x:c r="A72" s="9" t="n">
        <x:v>71</x:v>
      </x:c>
      <x:c r="B72" s="9" t="str">
        <x:v>Gross Revenue Retention (GRR)</x:v>
      </x:c>
      <x:c r="C72" s="9" t="str">
        <x:v>POPULATED</x:v>
      </x:c>
      <x:c r="D72" s="9" t="str">
        <x:v>POPULATED</x:v>
      </x:c>
      <x:c r="E72" s="9" t="str">
        <x:v>POPULATED</x:v>
      </x:c>
      <x:c r="F72" s="9" t="str">
        <x:v>YES</x:v>
      </x:c>
      <x:c r="G72" s="18" t="str">
        <x:v>PASS</x:v>
      </x:c>
    </x:row>
    <x:row r="73">
      <x:c r="A73" s="9" t="n">
        <x:v>72</x:v>
      </x:c>
      <x:c r="B73" s="9" t="str">
        <x:v>Churn Rate (Revenue)</x:v>
      </x:c>
      <x:c r="C73" s="9" t="str">
        <x:v>POPULATED</x:v>
      </x:c>
      <x:c r="D73" s="9" t="str">
        <x:v>POPULATED</x:v>
      </x:c>
      <x:c r="E73" s="9" t="str">
        <x:v>POPULATED</x:v>
      </x:c>
      <x:c r="F73" s="9" t="str">
        <x:v>YES</x:v>
      </x:c>
      <x:c r="G73" s="18" t="str">
        <x:v>PASS</x:v>
      </x:c>
    </x:row>
    <x:row r="74">
      <x:c r="A74" s="9" t="n">
        <x:v>73</x:v>
      </x:c>
      <x:c r="B74" s="9" t="str">
        <x:v>Churn Rate (Customer / Logo)</x:v>
      </x:c>
      <x:c r="C74" s="9" t="str">
        <x:v>POPULATED</x:v>
      </x:c>
      <x:c r="D74" s="9" t="str">
        <x:v>POPULATED</x:v>
      </x:c>
      <x:c r="E74" s="9" t="str">
        <x:v>POPULATED</x:v>
      </x:c>
      <x:c r="F74" s="9" t="str">
        <x:v>YES</x:v>
      </x:c>
      <x:c r="G74" s="18" t="str">
        <x:v>PASS</x:v>
      </x:c>
    </x:row>
    <x:row r="75">
      <x:c r="A75" s="9" t="n">
        <x:v>74</x:v>
      </x:c>
      <x:c r="B75" s="9" t="str">
        <x:v>Rule of 40</x:v>
      </x:c>
      <x:c r="C75" s="9" t="str">
        <x:v>POPULATED</x:v>
      </x:c>
      <x:c r="D75" s="9" t="str">
        <x:v>POPULATED</x:v>
      </x:c>
      <x:c r="E75" s="9" t="str">
        <x:v>POPULATED</x:v>
      </x:c>
      <x:c r="F75" s="9" t="str">
        <x:v>YES</x:v>
      </x:c>
      <x:c r="G75" s="18" t="str">
        <x:v>PASS</x:v>
      </x:c>
    </x:row>
    <x:row r="76">
      <x:c r="A76" s="9" t="n">
        <x:v>75</x:v>
      </x:c>
      <x:c r="B76" s="9" t="str">
        <x:v>Magic Number</x:v>
      </x:c>
      <x:c r="C76" s="9" t="str">
        <x:v>POPULATED</x:v>
      </x:c>
      <x:c r="D76" s="9" t="str">
        <x:v>POPULATED</x:v>
      </x:c>
      <x:c r="E76" s="9" t="str">
        <x:v>POPULATED</x:v>
      </x:c>
      <x:c r="F76" s="9" t="str">
        <x:v>YES</x:v>
      </x:c>
      <x:c r="G76" s="18" t="str">
        <x:v>PASS</x:v>
      </x:c>
    </x:row>
    <x:row r="77">
      <x:c r="A77" s="9" t="n">
        <x:v>76</x:v>
      </x:c>
      <x:c r="B77" s="9" t="str">
        <x:v>Burn Multiple</x:v>
      </x:c>
      <x:c r="C77" s="9" t="str">
        <x:v>POPULATED</x:v>
      </x:c>
      <x:c r="D77" s="9" t="str">
        <x:v>POPULATED</x:v>
      </x:c>
      <x:c r="E77" s="9" t="str">
        <x:v>POPULATED</x:v>
      </x:c>
      <x:c r="F77" s="9" t="str">
        <x:v>YES</x:v>
      </x:c>
      <x:c r="G77" s="18" t="str">
        <x:v>PASS</x:v>
      </x:c>
    </x:row>
    <x:row r="78">
      <x:c r="A78" s="9" t="n">
        <x:v>77</x:v>
      </x:c>
      <x:c r="B78" s="9" t="str">
        <x:v>Altman Z-Score</x:v>
      </x:c>
      <x:c r="C78" s="9" t="str">
        <x:v>POPULATED</x:v>
      </x:c>
      <x:c r="D78" s="9" t="str">
        <x:v>POPULATED</x:v>
      </x:c>
      <x:c r="E78" s="9" t="str">
        <x:v>POPULATED</x:v>
      </x:c>
      <x:c r="F78" s="9" t="str">
        <x:v>YES</x:v>
      </x:c>
      <x:c r="G78" s="18" t="str">
        <x:v>PASS</x:v>
      </x:c>
    </x:row>
    <x:row r="79">
      <x:c r="A79" s="9" t="n">
        <x:v>78</x:v>
      </x:c>
      <x:c r="B79" s="9" t="str">
        <x:v>Weighted Average Cost of Capital (WACC)</x:v>
      </x:c>
      <x:c r="C79" s="9" t="str">
        <x:v>POPULATED</x:v>
      </x:c>
      <x:c r="D79" s="9" t="str">
        <x:v>POPULATED</x:v>
      </x:c>
      <x:c r="E79" s="9" t="str">
        <x:v>POPULATED</x:v>
      </x:c>
      <x:c r="F79" s="9" t="str">
        <x:v>YES</x:v>
      </x:c>
      <x:c r="G79" s="18" t="str">
        <x:v>PASS</x:v>
      </x:c>
    </x:row>
    <x:row r="80">
      <x:c r="A80" s="9" t="n">
        <x:v>79</x:v>
      </x:c>
      <x:c r="B80" s="9" t="str">
        <x:v>Economic Value Added (EVA)</x:v>
      </x:c>
      <x:c r="C80" s="9" t="str">
        <x:v>POPULATED</x:v>
      </x:c>
      <x:c r="D80" s="9" t="str">
        <x:v>POPULATED</x:v>
      </x:c>
      <x:c r="E80" s="9" t="str">
        <x:v>POPULATED</x:v>
      </x:c>
      <x:c r="F80" s="9" t="str">
        <x:v>YES</x:v>
      </x:c>
      <x:c r="G80" s="18" t="str">
        <x:v>PASS</x:v>
      </x:c>
    </x:row>
    <x:row r="81">
      <x:c r="A81" s="9" t="n">
        <x:v>80</x:v>
      </x:c>
      <x:c r="B81" s="9" t="str">
        <x:v>Beta-adjusted Cost of Equity (CAPM)</x:v>
      </x:c>
      <x:c r="C81" s="9" t="str">
        <x:v>POPULATED</x:v>
      </x:c>
      <x:c r="D81" s="9" t="str">
        <x:v>POPULATED</x:v>
      </x:c>
      <x:c r="E81" s="9" t="str">
        <x:v>POPULATED</x:v>
      </x:c>
      <x:c r="F81" s="9" t="str">
        <x:v>YES</x:v>
      </x:c>
      <x:c r="G81" s="18" t="str">
        <x:v>PASS</x:v>
      </x:c>
    </x:row>
    <x:row r="82">
      <x:c r="A82" s="9" t="n">
        <x:v>81</x:v>
      </x:c>
      <x:c r="B82" s="9" t="str">
        <x:v>EBITDA (Derived)</x:v>
      </x:c>
      <x:c r="C82" s="9" t="str">
        <x:v>POPULATED</x:v>
      </x:c>
      <x:c r="D82" s="9" t="str">
        <x:v>POPULATED</x:v>
      </x:c>
      <x:c r="E82" s="9" t="str">
        <x:v>POPULATED</x:v>
      </x:c>
      <x:c r="F82" s="9" t="str">
        <x:v>YES</x:v>
      </x:c>
      <x:c r="G82" s="18" t="str">
        <x:v>PASS</x:v>
      </x:c>
    </x:row>
    <x:row r="83">
      <x:c r="A83" s="9" t="n">
        <x:v>82</x:v>
      </x:c>
      <x:c r="B83" s="9" t="str">
        <x:v>Adjusted EBITDA</x:v>
      </x:c>
      <x:c r="C83" s="9" t="str">
        <x:v>POPULATED</x:v>
      </x:c>
      <x:c r="D83" s="9" t="str">
        <x:v>POPULATED</x:v>
      </x:c>
      <x:c r="E83" s="9" t="str">
        <x:v>POPULATED</x:v>
      </x:c>
      <x:c r="F83" s="9" t="str">
        <x:v>YES</x:v>
      </x:c>
      <x:c r="G83" s="18" t="str">
        <x:v>PASS</x:v>
      </x:c>
    </x:row>
    <x:row r="84">
      <x:c r="A84" s="9" t="n">
        <x:v>83</x:v>
      </x:c>
      <x:c r="B84" s="9" t="str">
        <x:v>Operating Leverage</x:v>
      </x:c>
      <x:c r="C84" s="9" t="str">
        <x:v>POPULATED</x:v>
      </x:c>
      <x:c r="D84" s="9" t="str">
        <x:v>POPULATED</x:v>
      </x:c>
      <x:c r="E84" s="9" t="str">
        <x:v>POPULATED</x:v>
      </x:c>
      <x:c r="F84" s="9" t="str">
        <x:v>YES</x:v>
      </x:c>
      <x:c r="G84" s="18" t="str">
        <x:v>PASS</x:v>
      </x:c>
    </x:row>
    <x:row r="85">
      <x:c r="A85" s="9" t="n">
        <x:v>84</x:v>
      </x:c>
      <x:c r="B85" s="9" t="str">
        <x:v>Break-even Point (Units)</x:v>
      </x:c>
      <x:c r="C85" s="9" t="str">
        <x:v>POPULATED</x:v>
      </x:c>
      <x:c r="D85" s="9" t="str">
        <x:v>POPULATED</x:v>
      </x:c>
      <x:c r="E85" s="9" t="str">
        <x:v>POPULATED</x:v>
      </x:c>
      <x:c r="F85" s="9" t="str">
        <x:v>YES</x:v>
      </x:c>
      <x:c r="G85" s="18" t="str">
        <x:v>PASS</x:v>
      </x:c>
    </x:row>
    <x:row r="86">
      <x:c r="A86" s="9" t="n">
        <x:v>85</x:v>
      </x:c>
      <x:c r="B86" s="9" t="str">
        <x:v>Margin of Safety</x:v>
      </x:c>
      <x:c r="C86" s="9" t="str">
        <x:v>POPULATED</x:v>
      </x:c>
      <x:c r="D86" s="9" t="str">
        <x:v>POPULATED</x:v>
      </x:c>
      <x:c r="E86" s="9" t="str">
        <x:v>POPULATED</x:v>
      </x:c>
      <x:c r="F86" s="9" t="str">
        <x:v>YES</x:v>
      </x:c>
      <x:c r="G86" s="18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477f690addb141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22" t="str">
        <x:v>MYAI CFO — COMPREHENSIVE 85 KPI CERTIFICATION WORKBOOK</x:v>
      </x:c>
    </x:row>
    <x:row r="3">
      <x:c r="A3" s="18" t="str">
        <x:v>KPI coverage</x:v>
      </x:c>
      <x:c r="B3" s="9" t="str">
        <x:v>85 / 85</x:v>
      </x:c>
      <x:c r="C3" s="9"/>
      <x:c r="D3" s="30" t="str">
        <x:v>Metric</x:v>
      </x:c>
      <x:c r="E3" s="30" t="str">
        <x:v>2023</x:v>
      </x:c>
      <x:c r="F3" s="30" t="str">
        <x:v>2024</x:v>
      </x:c>
      <x:c r="G3" s="30" t="str">
        <x:v>2025</x:v>
      </x:c>
      <x:c r="H3" s="9"/>
    </x:row>
    <x:row r="4">
      <x:c r="A4" s="18" t="str">
        <x:v>Fiscal years</x:v>
      </x:c>
      <x:c r="B4" s="9" t="str">
        <x:v>2023 / 2024 / 2025</x:v>
      </x:c>
      <x:c r="C4" s="9"/>
      <x:c r="D4" s="9" t="str">
        <x:v>Revenue</x:v>
      </x:c>
      <x:c r="E4" s="31" t="n">
        <x:v>90000</x:v>
      </x:c>
      <x:c r="F4" s="31" t="n">
        <x:v>98000</x:v>
      </x:c>
      <x:c r="G4" s="31" t="n">
        <x:v>105000</x:v>
      </x:c>
      <x:c r="H4" s="9"/>
    </x:row>
    <x:row r="5">
      <x:c r="A5" s="18" t="str">
        <x:v>Inputs</x:v>
      </x:c>
      <x:c r="B5" s="9" t="str">
        <x:v>85 source fields</x:v>
      </x:c>
      <x:c r="C5" s="9"/>
      <x:c r="D5" s="9" t="str">
        <x:v>EBITDA</x:v>
      </x:c>
      <x:c r="E5" s="31" t="n">
        <x:v>18000</x:v>
      </x:c>
      <x:c r="F5" s="31" t="n">
        <x:v>21000</x:v>
      </x:c>
      <x:c r="G5" s="31" t="n">
        <x:v>24000</x:v>
      </x:c>
      <x:c r="H5" s="9"/>
    </x:row>
    <x:row r="6">
      <x:c r="A6" s="18" t="str">
        <x:v>Calculated KPIs</x:v>
      </x:c>
      <x:c r="B6" s="9" t="str">
        <x:v>85</x:v>
      </x:c>
      <x:c r="C6" s="9"/>
      <x:c r="D6" s="9" t="str">
        <x:v>Net Income</x:v>
      </x:c>
      <x:c r="E6" s="31" t="n">
        <x:v>8500</x:v>
      </x:c>
      <x:c r="F6" s="31" t="n">
        <x:v>10500</x:v>
      </x:c>
      <x:c r="G6" s="31" t="n">
        <x:v>12500</x:v>
      </x:c>
      <x:c r="H6" s="9"/>
    </x:row>
    <x:row r="7">
      <x:c r="A7" s="18" t="str">
        <x:v>Formula coverage</x:v>
      </x:c>
      <x:c r="B7" s="9" t="str">
        <x:v>100%</x:v>
      </x:c>
      <x:c r="C7" s="9"/>
      <x:c r="D7" s="9"/>
      <x:c r="E7" s="9"/>
      <x:c r="F7" s="9"/>
      <x:c r="G7" s="9"/>
      <x:c r="H7" s="9"/>
    </x:row>
    <x:row r="8">
      <x:c r="A8" s="18" t="str">
        <x:v>QA status</x:v>
      </x:c>
      <x:c r="B8" s="9" t="str">
        <x:v>READY FOR MYAI CFO TEST — COMPREHENSIVE</x:v>
      </x:c>
      <x:c r="C8" s="9"/>
      <x:c r="D8" s="9"/>
      <x:c r="E8" s="9"/>
      <x:c r="F8" s="9"/>
      <x:c r="G8" s="9"/>
      <x:c r="H8" s="9"/>
    </x:row>
    <x:row r="9">
      <x:c r="A9" s="9"/>
      <x:c r="B9" s="9"/>
      <x:c r="C9" s="9"/>
      <x:c r="D9" s="9"/>
      <x:c r="E9" s="9"/>
      <x:c r="F9" s="9"/>
      <x:c r="G9" s="9"/>
      <x:c r="H9" s="9"/>
    </x:row>
    <x:row r="10">
      <x:c r="A10" s="9"/>
      <x:c r="B10" s="9"/>
      <x:c r="C10" s="9"/>
      <x:c r="D10" s="9"/>
      <x:c r="E10" s="9"/>
      <x:c r="F10" s="9"/>
      <x:c r="G10" s="9"/>
      <x:c r="H10" s="9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9"/>
      <x:c r="B12" s="9"/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9"/>
      <x:c r="B17" s="9"/>
      <x:c r="C17" s="9"/>
      <x:c r="D17" s="9"/>
      <x:c r="E17" s="9"/>
      <x:c r="F17" s="9"/>
      <x:c r="G17" s="9"/>
      <x:c r="H17" s="9"/>
    </x:row>
    <x:row r="18">
      <x:c r="A18" s="9"/>
      <x:c r="B18" s="9"/>
      <x:c r="C18" s="9"/>
      <x:c r="D18" s="9"/>
      <x:c r="E18" s="9"/>
      <x:c r="F18" s="9"/>
      <x:c r="G18" s="9"/>
      <x:c r="H18" s="9"/>
    </x:row>
    <x:row r="19">
      <x:c r="A19" s="9"/>
      <x:c r="B19" s="9"/>
      <x:c r="C19" s="9"/>
      <x:c r="D19" s="9"/>
      <x:c r="E19" s="9"/>
      <x:c r="F19" s="9"/>
      <x:c r="G19" s="9"/>
      <x:c r="H19" s="9"/>
    </x:row>
    <x:row r="20">
      <x:c r="A20" s="9"/>
      <x:c r="B20" s="9"/>
      <x:c r="C20" s="9"/>
      <x:c r="D20" s="9"/>
      <x:c r="E20" s="9"/>
      <x:c r="F20" s="9"/>
      <x:c r="G20" s="9"/>
      <x:c r="H20" s="9"/>
    </x:row>
    <x:row r="21">
      <x:c r="A21" s="9"/>
      <x:c r="B21" s="9"/>
      <x:c r="C21" s="9"/>
      <x:c r="D21" s="9"/>
      <x:c r="E21" s="9"/>
      <x:c r="F21" s="9"/>
      <x:c r="G21" s="9"/>
      <x:c r="H21" s="9"/>
    </x:row>
    <x:row r="22">
      <x:c r="A22" s="9"/>
      <x:c r="B22" s="9"/>
      <x:c r="C22" s="9"/>
      <x:c r="D22" s="9"/>
      <x:c r="E22" s="9"/>
      <x:c r="F22" s="9"/>
      <x:c r="G22" s="9"/>
      <x:c r="H22" s="9"/>
    </x:row>
    <x:row r="23">
      <x:c r="A23" s="9"/>
      <x:c r="B23" s="9"/>
      <x:c r="C23" s="9"/>
      <x:c r="D23" s="9"/>
      <x:c r="E23" s="9"/>
      <x:c r="F23" s="9"/>
      <x:c r="G23" s="9"/>
      <x:c r="H23" s="9"/>
    </x:row>
    <x:row r="24">
      <x:c r="A24" s="9"/>
      <x:c r="B24" s="9"/>
      <x:c r="C24" s="9"/>
      <x:c r="D24" s="9"/>
      <x:c r="E24" s="9"/>
      <x:c r="F24" s="9"/>
      <x:c r="G24" s="9"/>
      <x:c r="H24" s="9"/>
    </x:row>
    <x:row r="25">
      <x:c r="A25" s="9"/>
      <x:c r="B25" s="9"/>
      <x:c r="C25" s="9"/>
      <x:c r="D25" s="9"/>
      <x:c r="E25" s="9"/>
      <x:c r="F25" s="9"/>
      <x:c r="G25" s="9"/>
      <x:c r="H25" s="9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45256826b6942e6"/>
</x:worksheet>
</file>